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fo Request" sheetId="2" state="visible" r:id="rId4"/>
    <sheet name="Readiness Dashboard" sheetId="3" state="visible" r:id="rId5"/>
    <sheet name="Control Matrix" sheetId="4" state="visible" r:id="rId6"/>
    <sheet name="TSC Coverage" sheetId="5" state="visible" r:id="rId7"/>
    <sheet name="Integration Inventory" sheetId="6" state="visible" r:id="rId8"/>
    <sheet name="GitHub-ServiceNow Config" sheetId="7" state="visible" r:id="rId9"/>
    <sheet name="Evidence Automation" sheetId="8" state="visible" r:id="rId10"/>
    <sheet name="PBC Evidence List" sheetId="9" state="visible" r:id="rId11"/>
    <sheet name="Risk Register" sheetId="10" state="visible" r:id="rId12"/>
    <sheet name="Compliance Calendar" sheetId="11" state="visible" r:id="rId13"/>
    <sheet name="Sampling Guide" sheetId="12" state="visible" r:id="rId14"/>
  </sheets>
  <definedNames>
    <definedName function="false" hidden="true" localSheetId="10" name="_xlnm._FilterDatabase" vbProcedure="false">'Compliance Calendar'!$A$1:$O$1</definedName>
    <definedName function="false" hidden="true" localSheetId="3" name="_xlnm._FilterDatabase" vbProcedure="false">'Control Matrix'!$A$1:$T$1</definedName>
    <definedName function="false" hidden="true" localSheetId="7" name="_xlnm._FilterDatabase" vbProcedure="false">'Evidence Automation'!$A$1:$H$1</definedName>
    <definedName function="false" hidden="true" localSheetId="6" name="_xlnm._FilterDatabase" vbProcedure="false">'GitHub-ServiceNow Config'!$A$1:$J$1</definedName>
    <definedName function="false" hidden="true" localSheetId="1" name="_xlnm._FilterDatabase" vbProcedure="false">'Info Request'!$A$1:$H$1</definedName>
    <definedName function="false" hidden="true" localSheetId="5" name="_xlnm._FilterDatabase" vbProcedure="false">'Integration Inventory'!$A$1:$L$1</definedName>
    <definedName function="false" hidden="true" localSheetId="8" name="_xlnm._FilterDatabase" vbProcedure="false">'PBC Evidence List'!$A$1:$L$1</definedName>
    <definedName function="false" hidden="true" localSheetId="9" name="_xlnm._FilterDatabase" vbProcedure="false">'Risk Register'!$A$1:$P$1</definedName>
    <definedName function="false" hidden="true" localSheetId="11" name="_xlnm._FilterDatabase" vbProcedure="false">'Sampling Guide'!$A$1:$D$1</definedName>
    <definedName function="false" hidden="true" localSheetId="4" name="_xlnm._FilterDatabase" vbProcedure="false">'TSC Coverage'!$A$1:$G$1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<sst xmlns="http://schemas.openxmlformats.org/spreadsheetml/2006/main" count="3475" uniqueCount="1656">
  <si>
    <t xml:space="preserve">SOC 2 Type II – Control Matrix &amp; Evidence Tracker</t>
  </si>
  <si>
    <t xml:space="preserve">Scope: Security (Common Criteria CC1–CC9), AICPA 2017 Trust Services Criteria with Revised Points of Focus (2022). Tailored for GitHub Enterprise Cloud, GitHub Actions and ServiceNow; other subsystems vendor-neutral pending the Info Request.</t>
  </si>
  <si>
    <t xml:space="preserve">Organization</t>
  </si>
  <si>
    <t xml:space="preserve">[Company Name]</t>
  </si>
  <si>
    <t xml:space="preserve">System in scope</t>
  </si>
  <si>
    <t xml:space="preserve">[System / Product Name]</t>
  </si>
  <si>
    <t xml:space="preserve">Observation period</t>
  </si>
  <si>
    <t xml:space="preserve">[Start date] – [End date] (typically 3–12 months)</t>
  </si>
  <si>
    <t xml:space="preserve">Document owner</t>
  </si>
  <si>
    <t xml:space="preserve">[Compliance Manager]</t>
  </si>
  <si>
    <t xml:space="preserve">Version / date</t>
  </si>
  <si>
    <t xml:space="preserve">v1.1 – [Date] (GitHub / GitHub Actions / ServiceNow tailoring)</t>
  </si>
  <si>
    <t xml:space="preserve">HOW TO USE</t>
  </si>
  <si>
    <t xml:space="preserve">Yellow cells</t>
  </si>
  <si>
    <t xml:space="preserve">Fill-in fields. Replace placeholders and complete Named Owner, Tool Implemented, Status, Last Tested and PBC status columns.</t>
  </si>
  <si>
    <t xml:space="preserve">Blue italic text</t>
  </si>
  <si>
    <t xml:space="preserve">Example values showing expected format – overwrite with your own.</t>
  </si>
  <si>
    <t xml:space="preserve">Readiness Dashboard</t>
  </si>
  <si>
    <t xml:space="preserve">Calculated from Implementation Status in the Control Matrix. Do not edit – formulas.</t>
  </si>
  <si>
    <t xml:space="preserve">Control Matrix</t>
  </si>
  <si>
    <t xml:space="preserve">69 controls mapped to all 33 Common Criteria. Each row lists subsystems, owner role, frequency, evidence, automation approach and Type II test procedure.</t>
  </si>
  <si>
    <t xml:space="preserve">TSC Coverage</t>
  </si>
  <si>
    <t xml:space="preserve">One row per Common Criterion with count of mapped controls (formula) and readiness status. Any 'GAP' must be resolved before fieldwork.</t>
  </si>
  <si>
    <t xml:space="preserve">Integration Inventory</t>
  </si>
  <si>
    <t xml:space="preserve">In-scope subsystems, how each integrates with the IdP, log pipeline and other subsystems, and what evidence it produces.</t>
  </si>
  <si>
    <t xml:space="preserve">Evidence Automation</t>
  </si>
  <si>
    <t xml:space="preserve">Scheduled collector jobs that pull evidence via API into the immutable evidence store.</t>
  </si>
  <si>
    <t xml:space="preserve">PBC Evidence List</t>
  </si>
  <si>
    <t xml:space="preserve">'Provided By Client' request list – what the auditor will ask for, per control. Track status here during fieldwork.</t>
  </si>
  <si>
    <t xml:space="preserve">Risk Register</t>
  </si>
  <si>
    <t xml:space="preserve">Seed risk register with inherent/residual scoring (Likelihood × Impact, 1–5 scale). Adjust to your environment.</t>
  </si>
  <si>
    <t xml:space="preserve">Compliance Calendar</t>
  </si>
  <si>
    <t xml:space="preserve">Recurring control activities across the 12 months of the observation period (M1 = first month).</t>
  </si>
  <si>
    <t xml:space="preserve">GitHub-ServiceNow Config</t>
  </si>
  <si>
    <t xml:space="preserve">Required configuration settings for GitHub Enterprise Cloud, GitHub Actions and ServiceNow, how to verify each (API/UI), and the control it supports. Track status in the yellow columns.</t>
  </si>
  <si>
    <t xml:space="preserve">Info Request</t>
  </si>
  <si>
    <t xml:space="preserve">Questions to answer for the remaining subsystems (and open decisions on GitHub/ServiceNow) so the package can be fully tailored.</t>
  </si>
  <si>
    <t xml:space="preserve">Sampling Guide</t>
  </si>
  <si>
    <t xml:space="preserve">Typical auditor sample sizes by control frequency. Confirm with your audit firm – they set the final sample sizes.</t>
  </si>
  <si>
    <t xml:space="preserve">Important</t>
  </si>
  <si>
    <t xml:space="preserve">This is a template. Control descriptions must reflect what you actually do; auditors test the controls as written. Remove or edit any control you do not operate, and re-check TSC Coverage afterwards.</t>
  </si>
  <si>
    <t xml:space="preserve">#</t>
  </si>
  <si>
    <t xml:space="preserve">Area</t>
  </si>
  <si>
    <t xml:space="preserve">Subsystem</t>
  </si>
  <si>
    <t xml:space="preserve">Question</t>
  </si>
  <si>
    <t xml:space="preserve">Why It's Needed</t>
  </si>
  <si>
    <t xml:space="preserve">Controls Affected</t>
  </si>
  <si>
    <t xml:space="preserve">Answer</t>
  </si>
  <si>
    <t xml:space="preserve">Answered By / Date</t>
  </si>
  <si>
    <t xml:space="preserve">General</t>
  </si>
  <si>
    <t xml:space="preserve">Legal entity name, system/product name, and a one-paragraph description of the service</t>
  </si>
  <si>
    <t xml:space="preserve">System description (SYS-001 §1)</t>
  </si>
  <si>
    <t xml:space="preserve">GOV-08</t>
  </si>
  <si>
    <t xml:space="preserve">Headcount (employees/contractors) and org chart for Security, Platform/SRE, IT, Engineering</t>
  </si>
  <si>
    <t xml:space="preserve">People section; RACI; owners</t>
  </si>
  <si>
    <t xml:space="preserve">GOV-03</t>
  </si>
  <si>
    <t xml:space="preserve">Target observation period (start date, length) and audit firm (if selected)</t>
  </si>
  <si>
    <t xml:space="preserve">Calendar, sampling, readiness plan</t>
  </si>
  <si>
    <t xml:space="preserve">GOV-05</t>
  </si>
  <si>
    <t xml:space="preserve">Customer data types processed (PII? payment? health?) and hosting regions</t>
  </si>
  <si>
    <t xml:space="preserve">Classification, encryption, CUECs</t>
  </si>
  <si>
    <t xml:space="preserve">INF-05, POL-09</t>
  </si>
  <si>
    <t xml:space="preserve">Existing policies, prior audits/pen tests, or known gaps</t>
  </si>
  <si>
    <t xml:space="preserve">Avoid duplication; gap analysis</t>
  </si>
  <si>
    <t xml:space="preserve">GOV-01</t>
  </si>
  <si>
    <t xml:space="preserve">GitHub</t>
  </si>
  <si>
    <t xml:space="preserve">SCM</t>
  </si>
  <si>
    <t xml:space="preserve">Q1: GitHub Enterprise Cloud with EMU, Enterprise Cloud with SAML (personal accounts), or Enterprise Server (version)?</t>
  </si>
  <si>
    <t xml:space="preserve">Identity, SCIM, audit-log design</t>
  </si>
  <si>
    <t xml:space="preserve">IAM-01, IAM-03, MON-01</t>
  </si>
  <si>
    <t xml:space="preserve">Q2: Are GitHub Secret Protection and Code Security licensed for all in-scope repos?</t>
  </si>
  <si>
    <t xml:space="preserve">Else third-party SAST/SCA/secret scanners</t>
  </si>
  <si>
    <t xml:space="preserve">CHG-04, INF-06</t>
  </si>
  <si>
    <t xml:space="preserve">Q6: Number of GitHub organizations and in-scope repositories (list or estimate)</t>
  </si>
  <si>
    <t xml:space="preserve">Ruleset scope; populations</t>
  </si>
  <si>
    <t xml:space="preserve">CHG-01, GOV-08</t>
  </si>
  <si>
    <t xml:space="preserve">Is there a monorepo, and are any production repos public?</t>
  </si>
  <si>
    <t xml:space="preserve">Ruleset and fork settings</t>
  </si>
  <si>
    <t xml:space="preserve">CHG-01, INF-11</t>
  </si>
  <si>
    <t xml:space="preserve">GitHub Actions</t>
  </si>
  <si>
    <t xml:space="preserve">CI</t>
  </si>
  <si>
    <t xml:space="preserve">Q3: GitHub-hosted, self-hosted, or both runners? If self-hosted: platform (ARC/Kubernetes, VMs) and network location</t>
  </si>
  <si>
    <t xml:space="preserve">Runner hardening; prod network path</t>
  </si>
  <si>
    <t xml:space="preserve">CHG-11</t>
  </si>
  <si>
    <t xml:space="preserve">Q7: Where are artifacts/images stored (GHCR/GitHub Packages or cloud registry)?</t>
  </si>
  <si>
    <t xml:space="preserve">Attestation and admission design</t>
  </si>
  <si>
    <t xml:space="preserve">CHG-07</t>
  </si>
  <si>
    <t xml:space="preserve">Q8: Any production deploys outside GitHub Actions today (manual, scripts, other CD tools e.g. Argo CD)?</t>
  </si>
  <si>
    <t xml:space="preserve">Must be brought under the gate before period start</t>
  </si>
  <si>
    <t xml:space="preserve">CHG-05</t>
  </si>
  <si>
    <t xml:space="preserve">ServiceNow</t>
  </si>
  <si>
    <t xml:space="preserve">ITSM</t>
  </si>
  <si>
    <t xml:space="preserve">Q4: Licensed modules: ITSM, DevOps Change Velocity, Security Incident Response, Vulnerability Response, IRM/GRC, VRM?</t>
  </si>
  <si>
    <t xml:space="preserve">Change gate design; fallback; ticket types</t>
  </si>
  <si>
    <t xml:space="preserve">CHG-06, IR-02, VUL-01, VEN-02</t>
  </si>
  <si>
    <t xml:space="preserve">Q5: Release family, existing change models/CAB, and who administers the instance</t>
  </si>
  <si>
    <t xml:space="preserve">Reuse vs. build; SoD</t>
  </si>
  <si>
    <t xml:space="preserve">CHG-06, CHG-09</t>
  </si>
  <si>
    <t xml:space="preserve">Is ServiceNow already on SSO? Any local accounts in use?</t>
  </si>
  <si>
    <t xml:space="preserve">IAM baseline</t>
  </si>
  <si>
    <t xml:space="preserve">IAM-01, IAM-09</t>
  </si>
  <si>
    <t xml:space="preserve">Identity</t>
  </si>
  <si>
    <t xml:space="preserve">IDP</t>
  </si>
  <si>
    <t xml:space="preserve">Which IdP (Okta, Entra ID, Google, other)? Phishing-resistant MFA in place? Device-trust integration?</t>
  </si>
  <si>
    <t xml:space="preserve">IAM design, MFA policy</t>
  </si>
  <si>
    <t xml:space="preserve">IAM-01, IAM-08, INF-08</t>
  </si>
  <si>
    <t xml:space="preserve">Which apps are already SSO + SCIM integrated? Any apps that cannot do SSO?</t>
  </si>
  <si>
    <t xml:space="preserve">Coverage gaps, compensating controls</t>
  </si>
  <si>
    <t xml:space="preserve">IAM-01, IAM-03</t>
  </si>
  <si>
    <t xml:space="preserve">JIT / privileged access tool in use (e.g., cloud-native, PAM product) or none?</t>
  </si>
  <si>
    <t xml:space="preserve">IAM-06 design</t>
  </si>
  <si>
    <t xml:space="preserve">IAM-06</t>
  </si>
  <si>
    <t xml:space="preserve">HR</t>
  </si>
  <si>
    <t xml:space="preserve">HRIS</t>
  </si>
  <si>
    <t xml:space="preserve">Which HRIS? Does it integrate with the IdP for joiner/mover/leaver? Background check vendor?</t>
  </si>
  <si>
    <t xml:space="preserve">Provisioning; HR controls</t>
  </si>
  <si>
    <t xml:space="preserve">IAM-02, IAM-03, HR-01</t>
  </si>
  <si>
    <t xml:space="preserve">Training / policy acknowledgment platform (LMS, HRIS module, GRC tool)?</t>
  </si>
  <si>
    <t xml:space="preserve">Evidence for HR-02, HR-03</t>
  </si>
  <si>
    <t xml:space="preserve">HR-02, HR-03</t>
  </si>
  <si>
    <t xml:space="preserve">Cloud</t>
  </si>
  <si>
    <t xml:space="preserve">CLD</t>
  </si>
  <si>
    <t xml:space="preserve">Cloud provider(s); number of accounts/projects/subscriptions; is there an org/landing-zone structure?</t>
  </si>
  <si>
    <t xml:space="preserve">Account structure, guardrails</t>
  </si>
  <si>
    <t xml:space="preserve">CHG-08, INF-01</t>
  </si>
  <si>
    <t xml:space="preserve">Is org-wide control-plane audit logging (CloudTrail / Activity Log / Audit Logs) enabled and where does it go?</t>
  </si>
  <si>
    <t xml:space="preserve">Logging design</t>
  </si>
  <si>
    <t xml:space="preserve">MON-01, MON-02</t>
  </si>
  <si>
    <t xml:space="preserve">Main data stores (DB engines, object storage) and current encryption / KMS setup</t>
  </si>
  <si>
    <t xml:space="preserve">Encryption, backup</t>
  </si>
  <si>
    <t xml:space="preserve">INF-05, BCP-01</t>
  </si>
  <si>
    <t xml:space="preserve">IaC</t>
  </si>
  <si>
    <t xml:space="preserve">IAC</t>
  </si>
  <si>
    <t xml:space="preserve">IaC tool (Terraform/OpenTofu, Pulumi, CloudFormation, Bicep) and state backend; share of infra under IaC today</t>
  </si>
  <si>
    <t xml:space="preserve">CHG-10, drift detection</t>
  </si>
  <si>
    <t xml:space="preserve">CHG-10, INF-02</t>
  </si>
  <si>
    <t xml:space="preserve">Runtime</t>
  </si>
  <si>
    <t xml:space="preserve">K8S</t>
  </si>
  <si>
    <t xml:space="preserve">Container platform (EKS/AKS/GKE, ECS, Cloud Run, VMs, serverless)? Admission policy engine in use?</t>
  </si>
  <si>
    <t xml:space="preserve">Admission/signing, RBAC</t>
  </si>
  <si>
    <t xml:space="preserve">CHG-07, IAM-05</t>
  </si>
  <si>
    <t xml:space="preserve">Security</t>
  </si>
  <si>
    <t xml:space="preserve">VAULT</t>
  </si>
  <si>
    <t xml:space="preserve">Secrets manager(s) in use; any secrets stored in GitHub org/repo secrets today?</t>
  </si>
  <si>
    <t xml:space="preserve">Secrets design</t>
  </si>
  <si>
    <t xml:space="preserve">INF-06, IAM-07</t>
  </si>
  <si>
    <t xml:space="preserve">SEC</t>
  </si>
  <si>
    <t xml:space="preserve">Container image scanning, CSPM and external vulnerability scanning tools (if any)</t>
  </si>
  <si>
    <t xml:space="preserve">VUL-01, INF-02 coverage</t>
  </si>
  <si>
    <t xml:space="preserve">VUL-01, INF-02</t>
  </si>
  <si>
    <t xml:space="preserve">Last penetration test date and provider</t>
  </si>
  <si>
    <t xml:space="preserve">VUL-02</t>
  </si>
  <si>
    <t xml:space="preserve">Monitoring</t>
  </si>
  <si>
    <t xml:space="preserve">SIEM</t>
  </si>
  <si>
    <t xml:space="preserve">SIEM / log platform, retention, and which sources already feed it</t>
  </si>
  <si>
    <t xml:space="preserve">MON controls, retention</t>
  </si>
  <si>
    <t xml:space="preserve">MON-01, MON-02, MON-03</t>
  </si>
  <si>
    <t xml:space="preserve">MON</t>
  </si>
  <si>
    <t xml:space="preserve">APM/monitoring tool and on-call tool (PagerDuty, Opsgenie, incident.io, ServiceNow On-Call?)</t>
  </si>
  <si>
    <t xml:space="preserve">MON-04, IR routing</t>
  </si>
  <si>
    <t xml:space="preserve">MON-04, IR-02</t>
  </si>
  <si>
    <t xml:space="preserve">Endpoint</t>
  </si>
  <si>
    <t xml:space="preserve">MDM</t>
  </si>
  <si>
    <t xml:space="preserve">MDM and EDR tools; OS mix; % of devices enrolled</t>
  </si>
  <si>
    <t xml:space="preserve">INF-08</t>
  </si>
  <si>
    <t xml:space="preserve">INF-08, INF-09</t>
  </si>
  <si>
    <t xml:space="preserve">Resilience</t>
  </si>
  <si>
    <t xml:space="preserve">BKP</t>
  </si>
  <si>
    <t xml:space="preserve">Backup method per data store, cross-region/account copies, last restore test; target RTO/RPO</t>
  </si>
  <si>
    <t xml:space="preserve">BCP controls</t>
  </si>
  <si>
    <t xml:space="preserve">BCP-01, BCP-02, BCP-03</t>
  </si>
  <si>
    <t xml:space="preserve">Compliance</t>
  </si>
  <si>
    <t xml:space="preserve">GRC</t>
  </si>
  <si>
    <t xml:space="preserve">Where should evidence live: GRC platform (e.g., Vanta, Drata, ServiceNow IRM) or a WORM bucket?</t>
  </si>
  <si>
    <t xml:space="preserve">Evidence store design</t>
  </si>
  <si>
    <t xml:space="preserve">GOV-05, MON-06</t>
  </si>
  <si>
    <t xml:space="preserve">Vendors</t>
  </si>
  <si>
    <t xml:space="preserve">VEN</t>
  </si>
  <si>
    <t xml:space="preserve">List of vendors with access to customer data or production (sub-service organizations)</t>
  </si>
  <si>
    <t xml:space="preserve">Carve-outs, CSOCs, VEN controls</t>
  </si>
  <si>
    <t xml:space="preserve">VEN-01, VEN-02</t>
  </si>
  <si>
    <t xml:space="preserve">Answered</t>
  </si>
  <si>
    <t xml:space="preserve">All values are formulas driven by 'Control Matrix' column R (Implementation Status).</t>
  </si>
  <si>
    <t xml:space="preserve">Domain</t>
  </si>
  <si>
    <t xml:space="preserve">Controls</t>
  </si>
  <si>
    <t xml:space="preserve">Implemented</t>
  </si>
  <si>
    <t xml:space="preserve">Partial</t>
  </si>
  <si>
    <t xml:space="preserve">Not impl.</t>
  </si>
  <si>
    <t xml:space="preserve">N/A</t>
  </si>
  <si>
    <t xml:space="preserve">% Implemented</t>
  </si>
  <si>
    <t xml:space="preserve">Governance</t>
  </si>
  <si>
    <t xml:space="preserve">Human Resources</t>
  </si>
  <si>
    <t xml:space="preserve">Risk Management</t>
  </si>
  <si>
    <t xml:space="preserve">Vendor Management</t>
  </si>
  <si>
    <t xml:space="preserve">Identity &amp; Access</t>
  </si>
  <si>
    <t xml:space="preserve">Change Management</t>
  </si>
  <si>
    <t xml:space="preserve">Infrastructure</t>
  </si>
  <si>
    <t xml:space="preserve">Vulnerability Management</t>
  </si>
  <si>
    <t xml:space="preserve">Logging &amp; Monitoring</t>
  </si>
  <si>
    <t xml:space="preserve">Incident Response</t>
  </si>
  <si>
    <t xml:space="preserve">Business Continuity</t>
  </si>
  <si>
    <t xml:space="preserve">TOTAL</t>
  </si>
  <si>
    <t xml:space="preserve">Criteria coverage</t>
  </si>
  <si>
    <t xml:space="preserve">Common Criteria in scope</t>
  </si>
  <si>
    <t xml:space="preserve">Criteria with design GAP</t>
  </si>
  <si>
    <t xml:space="preserve">Criteria fully ready</t>
  </si>
  <si>
    <t xml:space="preserve">PBC items received</t>
  </si>
  <si>
    <t xml:space="preserve">PBC items total</t>
  </si>
  <si>
    <t xml:space="preserve">Residual risks rated Medium/High (score ≥ 8)</t>
  </si>
  <si>
    <t xml:space="preserve">Control ID</t>
  </si>
  <si>
    <t xml:space="preserve">Control Title</t>
  </si>
  <si>
    <t xml:space="preserve">Control Description</t>
  </si>
  <si>
    <t xml:space="preserve">Subsystems</t>
  </si>
  <si>
    <t xml:space="preserve">Control Type</t>
  </si>
  <si>
    <t xml:space="preserve">Nature</t>
  </si>
  <si>
    <t xml:space="preserve">Frequency</t>
  </si>
  <si>
    <t xml:space="preserve">Owner (Role)</t>
  </si>
  <si>
    <t xml:space="preserve">TSC Mapping</t>
  </si>
  <si>
    <t xml:space="preserve">Evidence Required</t>
  </si>
  <si>
    <t xml:space="preserve">Type II Test Procedure</t>
  </si>
  <si>
    <t xml:space="preserve">Sampling Basis</t>
  </si>
  <si>
    <t xml:space="preserve">Min. Sample</t>
  </si>
  <si>
    <t xml:space="preserve">Named Owner</t>
  </si>
  <si>
    <t xml:space="preserve">Tool / System Implemented</t>
  </si>
  <si>
    <t xml:space="preserve">Implementation Status</t>
  </si>
  <si>
    <t xml:space="preserve">Last Tested</t>
  </si>
  <si>
    <t xml:space="preserve">Notes</t>
  </si>
  <si>
    <t xml:space="preserve">Security policies approved and published</t>
  </si>
  <si>
    <t xml:space="preserve">Information security policies are reviewed at least annually, approved by executive management, version-controlled, and published to all personnel.</t>
  </si>
  <si>
    <t xml:space="preserve">Preventive</t>
  </si>
  <si>
    <t xml:space="preserve">Manual</t>
  </si>
  <si>
    <t xml:space="preserve">Annual</t>
  </si>
  <si>
    <t xml:space="preserve">CISO / Security Lead</t>
  </si>
  <si>
    <t xml:space="preserve">CC1.1, CC2.2, CC5.3</t>
  </si>
  <si>
    <t xml:space="preserve">Policy set with version history and approval record; publication location screenshot</t>
  </si>
  <si>
    <t xml:space="preserve">Policies stored as code in a policy repo; approval via PR review is captured automatically</t>
  </si>
  <si>
    <t xml:space="preserve">1) Inquire of CISO / Security Lead. 2) Obtain the complete population of occurrences for the period and verify completeness (system-generated list). 3) Select a sample per the Sampling Guide. 4) Inspect evidence (Policy set with version history and approval record) for performance, timeliness, reviewer independence and follow-up of exceptions.</t>
  </si>
  <si>
    <t xml:space="preserve">Jane Doe</t>
  </si>
  <si>
    <t xml:space="preserve">e.g., GitHub policy repo + ServiceNow approval</t>
  </si>
  <si>
    <t xml:space="preserve">2026-01-15</t>
  </si>
  <si>
    <t xml:space="preserve">Example row – overwrite</t>
  </si>
  <si>
    <t xml:space="preserve">GOV-02</t>
  </si>
  <si>
    <t xml:space="preserve">Board / oversight committee security review</t>
  </si>
  <si>
    <t xml:space="preserve">The Board (or an oversight committee independent of management) receives a security and compliance update at least annually, including risk assessment results and control deficiencies.</t>
  </si>
  <si>
    <t xml:space="preserve">Detective</t>
  </si>
  <si>
    <t xml:space="preserve">CEO</t>
  </si>
  <si>
    <t xml:space="preserve">CC1.2, CC4.2</t>
  </si>
  <si>
    <t xml:space="preserve">Board / committee meeting minutes and presentation deck</t>
  </si>
  <si>
    <t xml:space="preserve">Manual upload to evidence store</t>
  </si>
  <si>
    <t xml:space="preserve">1) Inquire of CEO. 2) Obtain the complete population of occurrences for the period and verify completeness (system-generated list). 3) Select a sample per the Sampling Guide. 4) Inspect evidence (Board / committee meeting minutes and presentation deck) for performance, timeliness, reviewer independence and follow-up of exceptions.</t>
  </si>
  <si>
    <t xml:space="preserve">Organization chart and security roles defined</t>
  </si>
  <si>
    <t xml:space="preserve">An organization chart and a RACI of security and compliance responsibilities are maintained and reviewed annually.</t>
  </si>
  <si>
    <t xml:space="preserve">HRIS, GRC</t>
  </si>
  <si>
    <t xml:space="preserve">IT-dependent manual</t>
  </si>
  <si>
    <t xml:space="preserve">Head of People</t>
  </si>
  <si>
    <t xml:space="preserve">CC1.3</t>
  </si>
  <si>
    <t xml:space="preserve">Org chart export; RACI document with review date</t>
  </si>
  <si>
    <t xml:space="preserve">Org chart exported from HRIS by scheduled job</t>
  </si>
  <si>
    <t xml:space="preserve">1) Inquire of Head of People. 2) Obtain the complete population of occurrences for the period and verify completeness (system-generated list). 3) Select a sample per the Sampling Guide. 4) Inspect evidence (Org chart export) for performance, timeliness, reviewer independence and follow-up of exceptions.</t>
  </si>
  <si>
    <t xml:space="preserve">GOV-04</t>
  </si>
  <si>
    <t xml:space="preserve">Security and compliance steering meeting</t>
  </si>
  <si>
    <t xml:space="preserve">A security steering group meets at least quarterly to review metrics, open risks, audit status and control failures; actions are tracked to closure.</t>
  </si>
  <si>
    <t xml:space="preserve">ITSM, GRC</t>
  </si>
  <si>
    <t xml:space="preserve">Quarterly</t>
  </si>
  <si>
    <t xml:space="preserve">CC1.3, CC2.1, CC4.1, CC4.2</t>
  </si>
  <si>
    <t xml:space="preserve">Meeting agendas, minutes and action tracker</t>
  </si>
  <si>
    <t xml:space="preserve">Action items tracked as tickets with label 'sec-steering'</t>
  </si>
  <si>
    <t xml:space="preserve">1) Inquire of CISO / Security Lead. 2) Obtain the complete population of occurrences for the period and verify completeness (system-generated list). 3) Select a sample per the Sampling Guide. 4) Inspect evidence (Meeting agendas, minutes and action tracker) for performance, timeliness, reviewer independence and follow-up of exceptions.</t>
  </si>
  <si>
    <t xml:space="preserve">Action items tracked as ServiceNow tasks</t>
  </si>
  <si>
    <t xml:space="preserve">Internal control self-assessment</t>
  </si>
  <si>
    <t xml:space="preserve">Control owners attest quarterly that their controls operated; the compliance function performs an annual internal assessment and tracks deficiencies to remediation.</t>
  </si>
  <si>
    <t xml:space="preserve">GRC, ITSM</t>
  </si>
  <si>
    <t xml:space="preserve">Compliance Manager</t>
  </si>
  <si>
    <t xml:space="preserve">CC4.1, CC4.2, CC5.1</t>
  </si>
  <si>
    <t xml:space="preserve">Quarterly attestations; internal assessment report; deficiency tickets</t>
  </si>
  <si>
    <t xml:space="preserve">Automated control-health dashboard fed by evidence collectors</t>
  </si>
  <si>
    <t xml:space="preserve">1) Inquire of Compliance Manager. 2) Obtain the complete population of occurrences for the period and verify completeness (system-generated list). 3) Select a sample per the Sampling Guide. 4) Inspect evidence (Quarterly attestations) for performance, timeliness, reviewer independence and follow-up of exceptions.</t>
  </si>
  <si>
    <t xml:space="preserve">GOV-06</t>
  </si>
  <si>
    <t xml:space="preserve">External communication of commitments</t>
  </si>
  <si>
    <t xml:space="preserve">Security commitments, system changes affecting customers, and incident notifications are communicated through contracts, the trust/status page and customer notices.</t>
  </si>
  <si>
    <t xml:space="preserve">Ongoing</t>
  </si>
  <si>
    <t xml:space="preserve">Legal / Compliance</t>
  </si>
  <si>
    <t xml:space="preserve">CC2.3</t>
  </si>
  <si>
    <t xml:space="preserve">MSA/DPA templates; status page history; customer notices</t>
  </si>
  <si>
    <t xml:space="preserve">Status page history export</t>
  </si>
  <si>
    <t xml:space="preserve">1) Inquire of Legal / Compliance. 2) Obtain the complete population of occurrences for the period and verify completeness (system-generated list). 3) Select a sample per the Sampling Guide. 4) Inspect evidence (MSA/DPA templates) for performance, timeliness, reviewer independence and follow-up of exceptions.</t>
  </si>
  <si>
    <t xml:space="preserve">Per event / multiple times per day</t>
  </si>
  <si>
    <t xml:space="preserve">GOV-07</t>
  </si>
  <si>
    <t xml:space="preserve">Whistleblower / reporting channel</t>
  </si>
  <si>
    <t xml:space="preserve">An anonymous channel exists for personnel and external parties to report security concerns, fraud or ethics violations; reports are triaged and tracked.</t>
  </si>
  <si>
    <t xml:space="preserve">CC1.1, CC2.2, CC2.3</t>
  </si>
  <si>
    <t xml:space="preserve">Channel description in handbook; report log (redacted)</t>
  </si>
  <si>
    <t xml:space="preserve">n/a</t>
  </si>
  <si>
    <t xml:space="preserve">1) Inquire of Legal / Compliance. 2) Obtain the complete population of occurrences for the period and verify completeness (system-generated list). 3) Select a sample per the Sampling Guide. 4) Inspect evidence (Channel description in handbook) for performance, timeliness, reviewer independence and follow-up of exceptions.</t>
  </si>
  <si>
    <t xml:space="preserve">System description and boundaries maintained</t>
  </si>
  <si>
    <t xml:space="preserve">The in-scope system description, data-flow diagrams and subsystem inventory are reviewed and updated at least annually and upon significant change.</t>
  </si>
  <si>
    <t xml:space="preserve">GRC, CLD</t>
  </si>
  <si>
    <t xml:space="preserve">CC2.1, CC3.4</t>
  </si>
  <si>
    <t xml:space="preserve">Dated system description; architecture diagrams; integration inventory</t>
  </si>
  <si>
    <t xml:space="preserve">Cloud asset inventory export attached to review</t>
  </si>
  <si>
    <t xml:space="preserve">1) Inquire of Compliance Manager. 2) Obtain the complete population of occurrences for the period and verify completeness (system-generated list). 3) Select a sample per the Sampling Guide. 4) Inspect evidence (Dated system description) for performance, timeliness, reviewer independence and follow-up of exceptions.</t>
  </si>
  <si>
    <t xml:space="preserve">In-scope repo list = GitHub custom property soc2_scope=true</t>
  </si>
  <si>
    <t xml:space="preserve">HR-01</t>
  </si>
  <si>
    <t xml:space="preserve">Background checks</t>
  </si>
  <si>
    <t xml:space="preserve">Background checks are completed for new hires prior to granting access to production or customer data, where legally permitted.</t>
  </si>
  <si>
    <t xml:space="preserve">Per event</t>
  </si>
  <si>
    <t xml:space="preserve">CC1.4</t>
  </si>
  <si>
    <t xml:space="preserve">Background check completion records for sampled hires</t>
  </si>
  <si>
    <t xml:space="preserve">HRIS report of hires with check status</t>
  </si>
  <si>
    <t xml:space="preserve">1) Inquire of Head of People. 2) Obtain the complete population of occurrences for the period and verify completeness (system-generated list). 3) Select a sample per the Sampling Guide. 4) Inspect evidence (Background check completion records for sampled hires) for performance, timeliness, reviewer independence and follow-up of exceptions.</t>
  </si>
  <si>
    <t xml:space="preserve">HR-02</t>
  </si>
  <si>
    <t xml:space="preserve">Code of conduct and policy acknowledgment</t>
  </si>
  <si>
    <t xml:space="preserve">Personnel acknowledge the code of conduct, acceptable use and security policies at hire and annually.</t>
  </si>
  <si>
    <t xml:space="preserve">Per event / Annual</t>
  </si>
  <si>
    <t xml:space="preserve">CC1.1, CC1.5, CC2.2</t>
  </si>
  <si>
    <t xml:space="preserve">Signed acknowledgments for sampled personnel</t>
  </si>
  <si>
    <t xml:space="preserve">HRIS/LMS acknowledgment export</t>
  </si>
  <si>
    <t xml:space="preserve">1) Inquire of Head of People. 2) Obtain the complete population of occurrences for the period and verify completeness (system-generated list). 3) Select a sample per the Sampling Guide. 4) Inspect evidence (Signed acknowledgments for sampled personnel) for performance, timeliness, reviewer independence and follow-up of exceptions.</t>
  </si>
  <si>
    <t xml:space="preserve">HR-03</t>
  </si>
  <si>
    <t xml:space="preserve">Security awareness training</t>
  </si>
  <si>
    <t xml:space="preserve">Personnel complete security awareness training within 30 days of hire and annually; engineers complete secure-coding training annually.</t>
  </si>
  <si>
    <t xml:space="preserve">CC1.4, CC2.2</t>
  </si>
  <si>
    <t xml:space="preserve">Training completion report; training content</t>
  </si>
  <si>
    <t xml:space="preserve">LMS completion export on schedule</t>
  </si>
  <si>
    <t xml:space="preserve">1) Inquire of CISO / Security Lead. 2) Obtain the complete population of occurrences for the period and verify completeness (system-generated list). 3) Select a sample per the Sampling Guide. 4) Inspect evidence (Training completion report) for performance, timeliness, reviewer independence and follow-up of exceptions.</t>
  </si>
  <si>
    <t xml:space="preserve">HR-04</t>
  </si>
  <si>
    <t xml:space="preserve">Job descriptions and performance reviews</t>
  </si>
  <si>
    <t xml:space="preserve">Roles have documented job descriptions including security responsibilities; performance evaluations occur at least annually.</t>
  </si>
  <si>
    <t xml:space="preserve">CC1.3, CC1.4, CC1.5</t>
  </si>
  <si>
    <t xml:space="preserve">Job descriptions; completed performance review evidence (sampled)</t>
  </si>
  <si>
    <t xml:space="preserve">HRIS report</t>
  </si>
  <si>
    <t xml:space="preserve">1) Inquire of Head of People. 2) Obtain the complete population of occurrences for the period and verify completeness (system-generated list). 3) Select a sample per the Sampling Guide. 4) Inspect evidence (Job descriptions) for performance, timeliness, reviewer independence and follow-up of exceptions.</t>
  </si>
  <si>
    <t xml:space="preserve">HR-05</t>
  </si>
  <si>
    <t xml:space="preserve">Disciplinary process</t>
  </si>
  <si>
    <t xml:space="preserve">A documented sanctions process applies to personnel who violate security policies.</t>
  </si>
  <si>
    <t xml:space="preserve">Corrective</t>
  </si>
  <si>
    <t xml:space="preserve">CC1.5</t>
  </si>
  <si>
    <t xml:space="preserve">Handbook sanctions section; case log if any</t>
  </si>
  <si>
    <t xml:space="preserve">1) Inquire of Head of People. 2) Obtain the complete population of occurrences for the period and verify completeness (system-generated list). 3) Select a sample per the Sampling Guide. 4) Inspect evidence (Handbook sanctions section) for performance, timeliness, reviewer independence and follow-up of exceptions.</t>
  </si>
  <si>
    <t xml:space="preserve">RSK-01</t>
  </si>
  <si>
    <t xml:space="preserve">Annual risk assessment</t>
  </si>
  <si>
    <t xml:space="preserve">A formal risk assessment, including fraud risk and technology/threat changes, is performed at least annually; risks are scored and assigned owners and treatment plans.</t>
  </si>
  <si>
    <t xml:space="preserve">CC3.1, CC3.2, CC3.3, CC3.4, CC5.1</t>
  </si>
  <si>
    <t xml:space="preserve">Risk assessment report; risk register with scores and treatment</t>
  </si>
  <si>
    <t xml:space="preserve">Risk register maintained in GRC tool / workbook</t>
  </si>
  <si>
    <t xml:space="preserve">1) Inquire of CISO / Security Lead. 2) Obtain the complete population of occurrences for the period and verify completeness (system-generated list). 3) Select a sample per the Sampling Guide. 4) Inspect evidence (Risk assessment report) for performance, timeliness, reviewer independence and follow-up of exceptions.</t>
  </si>
  <si>
    <t xml:space="preserve">RSK-02</t>
  </si>
  <si>
    <t xml:space="preserve">Security objectives defined</t>
  </si>
  <si>
    <t xml:space="preserve">Security objectives aligned with service commitments and system requirements are documented and reviewed annually.</t>
  </si>
  <si>
    <t xml:space="preserve">CC3.1</t>
  </si>
  <si>
    <t xml:space="preserve">Documented objectives with approval</t>
  </si>
  <si>
    <t xml:space="preserve">1) Inquire of CISO / Security Lead. 2) Obtain the complete population of occurrences for the period and verify completeness (system-generated list). 3) Select a sample per the Sampling Guide. 4) Inspect evidence (Documented objectives with approval) for performance, timeliness, reviewer independence and follow-up of exceptions.</t>
  </si>
  <si>
    <t xml:space="preserve">RSK-03</t>
  </si>
  <si>
    <t xml:space="preserve">Change-driven risk review</t>
  </si>
  <si>
    <t xml:space="preserve">Significant changes (new subsystem, vendor, region, acquisition, architecture change) trigger a risk review before go-live.</t>
  </si>
  <si>
    <t xml:space="preserve">CC3.4, CC9.1</t>
  </si>
  <si>
    <t xml:space="preserve">Architecture/security review tickets for significant changes</t>
  </si>
  <si>
    <t xml:space="preserve">Ticket type 'security-review' required by intake workflow</t>
  </si>
  <si>
    <t xml:space="preserve">1) Inquire of CISO / Security Lead. 2) Obtain the complete population of occurrences for the period and verify completeness (system-generated list). 3) Select a sample per the Sampling Guide. 4) Inspect evidence (Architecture/security review tickets for significant changes) for performance, timeliness, reviewer independence and follow-up of exceptions.</t>
  </si>
  <si>
    <t xml:space="preserve">ServiceNow catalog item 'Security design review' for significant changes</t>
  </si>
  <si>
    <t xml:space="preserve">RSK-04</t>
  </si>
  <si>
    <t xml:space="preserve">Cyber insurance</t>
  </si>
  <si>
    <t xml:space="preserve">Cyber liability insurance is maintained and reviewed annually for adequacy.</t>
  </si>
  <si>
    <t xml:space="preserve">CFO</t>
  </si>
  <si>
    <t xml:space="preserve">CC9.1</t>
  </si>
  <si>
    <t xml:space="preserve">Insurance certificate / policy summary</t>
  </si>
  <si>
    <t xml:space="preserve">1) Inquire of CFO. 2) Obtain the complete population of occurrences for the period and verify completeness (system-generated list). 3) Select a sample per the Sampling Guide. 4) Inspect evidence (Insurance certificate / policy summary) for performance, timeliness, reviewer independence and follow-up of exceptions.</t>
  </si>
  <si>
    <t xml:space="preserve">VEN-01</t>
  </si>
  <si>
    <t xml:space="preserve">Vendor inventory and risk tiering</t>
  </si>
  <si>
    <t xml:space="preserve">All vendors and sub-service organizations processing company or customer data are inventoried and risk-tiered.</t>
  </si>
  <si>
    <t xml:space="preserve">Ongoing / Annual review</t>
  </si>
  <si>
    <t xml:space="preserve">CC9.2</t>
  </si>
  <si>
    <t xml:space="preserve">Vendor inventory with tier and data classification</t>
  </si>
  <si>
    <t xml:space="preserve">Inventory seeded from SSO app catalog and AP spend report</t>
  </si>
  <si>
    <t xml:space="preserve">1) Inquire of Compliance Manager. 2) Obtain the complete population of occurrences for the period and verify completeness (system-generated list). 3) Select a sample per the Sampling Guide. 4) Inspect evidence (Vendor inventory with tier and data classification) for performance, timeliness, reviewer independence and follow-up of exceptions.</t>
  </si>
  <si>
    <t xml:space="preserve">VEN-02</t>
  </si>
  <si>
    <t xml:space="preserve">Vendor security due diligence</t>
  </si>
  <si>
    <t xml:space="preserve">Before onboarding and annually for critical vendors, security posture is reviewed (SOC 2 report, questionnaire), including complementary user entity controls (CUECs).</t>
  </si>
  <si>
    <t xml:space="preserve">CC9.2, CC2.3</t>
  </si>
  <si>
    <t xml:space="preserve">Vendor SOC reports and review memos incl. CUEC mapping</t>
  </si>
  <si>
    <t xml:space="preserve">Reminder tickets auto-generated 30 days before review due</t>
  </si>
  <si>
    <t xml:space="preserve">1) Inquire of Compliance Manager. 2) Obtain the complete population of occurrences for the period and verify completeness (system-generated list). 3) Select a sample per the Sampling Guide. 4) Inspect evidence (Vendor SOC reports and review memos incl. CUEC mapping) for performance, timeliness, reviewer independence and follow-up of exceptions.</t>
  </si>
  <si>
    <t xml:space="preserve">ServiceNow task / VRM (if licensed) generated 30 days before review</t>
  </si>
  <si>
    <t xml:space="preserve">VEN-03</t>
  </si>
  <si>
    <t xml:space="preserve">Vendor contracts include security terms</t>
  </si>
  <si>
    <t xml:space="preserve">Contracts with critical vendors include confidentiality, security, breach notification and right-to-audit terms.</t>
  </si>
  <si>
    <t xml:space="preserve">Executed contracts/DPAs for sampled vendors</t>
  </si>
  <si>
    <t xml:space="preserve">1) Inquire of Legal / Compliance. 2) Obtain the complete population of occurrences for the period and verify completeness (system-generated list). 3) Select a sample per the Sampling Guide. 4) Inspect evidence (Executed contracts/DPAs for sampled vendors) for performance, timeliness, reviewer independence and follow-up of exceptions.</t>
  </si>
  <si>
    <t xml:space="preserve">IAM-01</t>
  </si>
  <si>
    <t xml:space="preserve">Centralized SSO with MFA</t>
  </si>
  <si>
    <t xml:space="preserve">Access to in-scope subsystems (SCM, CI/CD, cloud console/API, SIEM, ITSM, registry) is federated through the IdP with phishing-resistant MFA enforced; local accounts are disabled or break-glass only.</t>
  </si>
  <si>
    <t xml:space="preserve">IDP, SCM, CI, CLD, SIEM, ITSM, REG</t>
  </si>
  <si>
    <t xml:space="preserve">Automated</t>
  </si>
  <si>
    <t xml:space="preserve">Continuous</t>
  </si>
  <si>
    <t xml:space="preserve">IT / Identity Admin</t>
  </si>
  <si>
    <t xml:space="preserve">CC6.1, CC6.2</t>
  </si>
  <si>
    <t xml:space="preserve">IdP authentication policy config; per-app SSO enforcement settings; list of local accounts</t>
  </si>
  <si>
    <t xml:space="preserve">Nightly collector exports IdP policies and app SSO settings via API</t>
  </si>
  <si>
    <t xml:space="preserve">1) Inquire of IT / Identity Admin to understand the control. 2) Inspect the configuration in IDP, SCM, CI, CLD, SIEM, ITSM, REG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</si>
  <si>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Automated (continuous)</t>
  </si>
  <si>
    <t xml:space="preserve">GitHub EMU / enterprise SAML SSO via [IdP]; ServiceNow SAML SSO via [IdP]; local logins disabled (break-glass only)</t>
  </si>
  <si>
    <t xml:space="preserve">IAM-02</t>
  </si>
  <si>
    <t xml:space="preserve">HRIS-driven provisioning (joiner)</t>
  </si>
  <si>
    <t xml:space="preserve">New user identities are created in the IdP from the HRIS joiner event; application access is granted via role-based groups following an approved access request.</t>
  </si>
  <si>
    <t xml:space="preserve">HRIS, IDP, ITSM</t>
  </si>
  <si>
    <t xml:space="preserve">CC6.2, CC6.3</t>
  </si>
  <si>
    <t xml:space="preserve">Joiner events; access request tickets with approval for sampled hires</t>
  </si>
  <si>
    <t xml:space="preserve">SCIM/HRIS webhook logs; ITSM approval records</t>
  </si>
  <si>
    <t xml:space="preserve">1) Inquire of IT / Identity Admin to understand the control. 2) Inspect the configuration in HRIS, IDP, ITSM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</si>
  <si>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ServiceNow catalog item 'Access to in-scope system' (manager + system-owner approval) → IdP group → SCIM to GitHub / ServiceNow</t>
  </si>
  <si>
    <t xml:space="preserve">IAM-03</t>
  </si>
  <si>
    <t xml:space="preserve">Timely deprovisioning (leaver)</t>
  </si>
  <si>
    <t xml:space="preserve">Terminated users are disabled in the IdP within 24 hours of termination (immediately for involuntary); downstream app access and tokens are revoked via SCIM.</t>
  </si>
  <si>
    <t xml:space="preserve">HRIS, IDP, SCM, CLD</t>
  </si>
  <si>
    <t xml:space="preserve">HRIS termination list vs. IdP deactivation timestamps</t>
  </si>
  <si>
    <t xml:space="preserve">Daily reconciliation job flags leavers active &gt;24h and opens ticket</t>
  </si>
  <si>
    <t xml:space="preserve">1) Inquire of IT / Identity Admin to understand the control. 2) Inspect the configuration in HRIS, IDP, SCM, CLD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</si>
  <si>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IdP deactivation → SCIM suspends GitHub (EMU) user; ServiceNow user active=false; leaver recon ticket in ServiceNow</t>
  </si>
  <si>
    <t xml:space="preserve">IAM-04</t>
  </si>
  <si>
    <t xml:space="preserve">Quarterly user access reviews</t>
  </si>
  <si>
    <t xml:space="preserve">System owners review user and privileged access to in-scope subsystems quarterly; inappropriate access is removed and tracked to closure.</t>
  </si>
  <si>
    <t xml:space="preserve">IDP, SCM, CLD, CI, SIEM, ITSM</t>
  </si>
  <si>
    <t xml:space="preserve">System Owners</t>
  </si>
  <si>
    <t xml:space="preserve">CC6.2, CC6.3, CC4.1</t>
  </si>
  <si>
    <t xml:space="preserve">Access review workbooks with reviewer sign-off; removal tickets</t>
  </si>
  <si>
    <t xml:space="preserve">Collector generates user lists per system; completeness via API row counts</t>
  </si>
  <si>
    <t xml:space="preserve">1) Inquire of System Owners. 2) Obtain the complete population of occurrences for the period and verify completeness (system-generated list). 3) Select a sample per the Sampling Guide. 4) Inspect evidence (Access review workbooks with reviewer sign-off) for performance, timeliness, reviewer independence and follow-up of exceptions.</t>
  </si>
  <si>
    <t xml:space="preserve">Quarterly: GitHub org owners/members/teams/outside collaborators; ServiceNow sys_user_has_role (admin, security_admin, change_manager, CAB)</t>
  </si>
  <si>
    <t xml:space="preserve">IAM-05</t>
  </si>
  <si>
    <t xml:space="preserve">Least privilege and role-based access</t>
  </si>
  <si>
    <t xml:space="preserve">Access is granted through predefined roles/groups; production write access is restricted to on-call/SRE roles; standing admin access is minimized.</t>
  </si>
  <si>
    <t xml:space="preserve">IDP, CLD, K8S</t>
  </si>
  <si>
    <t xml:space="preserve">Engineering Manager</t>
  </si>
  <si>
    <t xml:space="preserve">CC6.1, CC6.3</t>
  </si>
  <si>
    <t xml:space="preserve">Role definitions; IAM policy exports; group membership</t>
  </si>
  <si>
    <t xml:space="preserve">IaC-managed IAM; policy-as-code checks in CI</t>
  </si>
  <si>
    <t xml:space="preserve">1) Inquire of Engineering Manager to understand the control. 2) Inspect the configuration in IDP, CLD, K8S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</si>
  <si>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GitHub base permission = none; repo admin via teams; ServiceNow roles only via groups</t>
  </si>
  <si>
    <t xml:space="preserve">Just-in-time privileged access</t>
  </si>
  <si>
    <t xml:space="preserve">Privileged production access is time-bound, requested with justification, approved, and logged.</t>
  </si>
  <si>
    <t xml:space="preserve">IDP, CLD, ITSM, SIEM</t>
  </si>
  <si>
    <t xml:space="preserve">CC6.1, CC6.3, CC7.2</t>
  </si>
  <si>
    <t xml:space="preserve">JIT elevation logs with approvals and expiry</t>
  </si>
  <si>
    <t xml:space="preserve">Elevation events forwarded to SIEM</t>
  </si>
  <si>
    <t xml:space="preserve">1) Inquire of Engineering Manager to understand the control. 2) Inspect the configuration in IDP, CLD, ITSM, SIEM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</si>
  <si>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IAM-07</t>
  </si>
  <si>
    <t xml:space="preserve">Service accounts and machine identities</t>
  </si>
  <si>
    <t xml:space="preserve">Non-human identities use workload identity federation (e.g., OIDC) or short-lived credentials; static keys are prohibited or rotated &lt;=90 days and inventoried.</t>
  </si>
  <si>
    <t xml:space="preserve">CI, CLD, VAULT</t>
  </si>
  <si>
    <t xml:space="preserve">Platform Engineering</t>
  </si>
  <si>
    <t xml:space="preserve">Service account inventory; key age report; OIDC trust config</t>
  </si>
  <si>
    <t xml:space="preserve">Weekly key-age scan; findings auto-ticketed</t>
  </si>
  <si>
    <t xml:space="preserve">1) Inquire of Platform Engineering to understand the control. 2) Inspect the configuration in CI, CLD, VAULT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</si>
  <si>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GitHub: classic PATs blocked, fine-grained PATs approved ≤90d, GitHub Apps approved; OIDC for cloud; ServiceNow integration users web-service-only</t>
  </si>
  <si>
    <t xml:space="preserve">IAM-08</t>
  </si>
  <si>
    <t xml:space="preserve">Password and authentication standards</t>
  </si>
  <si>
    <t xml:space="preserve">Authentication settings (length, lockout, session timeout) conform to the Access Control Policy.</t>
  </si>
  <si>
    <t xml:space="preserve">CC6.1</t>
  </si>
  <si>
    <t xml:space="preserve">IdP policy configuration export</t>
  </si>
  <si>
    <t xml:space="preserve">Nightly config export with drift diff</t>
  </si>
  <si>
    <t xml:space="preserve">1) Inquire of IT / Identity Admin to understand the control. 2) Inspect the configuration in IDP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</si>
  <si>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IAM-09</t>
  </si>
  <si>
    <t xml:space="preserve">Break-glass accounts</t>
  </si>
  <si>
    <t xml:space="preserve">Emergency accounts are vaulted, MFA-protected, alert on use, and use is reviewed.</t>
  </si>
  <si>
    <t xml:space="preserve">VAULT, CLD, SIEM</t>
  </si>
  <si>
    <t xml:space="preserve">CC6.1, CC7.2</t>
  </si>
  <si>
    <t xml:space="preserve">Break-glass inventory; alert rule; usage review tickets</t>
  </si>
  <si>
    <t xml:space="preserve">SIEM rule fires on any break-glass login</t>
  </si>
  <si>
    <t xml:space="preserve">1) Inquire of CISO / Security Lead to understand the control. 2) Inspect the configuration in VAULT, CLD, SIEM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</si>
  <si>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ServiceNow local admin + GitHub enterprise owner break-glass vaulted; SIEM alert on use</t>
  </si>
  <si>
    <t xml:space="preserve">CHG-01</t>
  </si>
  <si>
    <t xml:space="preserve">Branch protection on default branches</t>
  </si>
  <si>
    <t xml:space="preserve">Default/release branches require pull requests, at least one approval from a code owner other than the author, passing status checks, and prohibit force-push and deletion; admins cannot bypass.</t>
  </si>
  <si>
    <t xml:space="preserve">CC8.1, CC5.2</t>
  </si>
  <si>
    <t xml:space="preserve">Branch protection/ruleset configuration export for in-scope repos</t>
  </si>
  <si>
    <t xml:space="preserve">Nightly collector exports rulesets; drift alerts to Security</t>
  </si>
  <si>
    <t xml:space="preserve">1) Inquire of Engineering Manager to understand the control. 2) Inspect the configuration in SCM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</si>
  <si>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GitHub org ruleset 'soc2-default-branch-protection' on repos with custom property soc2_scope=true; bypass list empty; tag ruleset for releases</t>
  </si>
  <si>
    <t xml:space="preserve">CHG-02</t>
  </si>
  <si>
    <t xml:space="preserve">Peer review of code changes</t>
  </si>
  <si>
    <t xml:space="preserve">All changes merged to production branches are peer reviewed and approved by someone other than the author.</t>
  </si>
  <si>
    <t xml:space="preserve">CC8.1</t>
  </si>
  <si>
    <t xml:space="preserve">Population of merged PRs with reviewer != author for sampled changes</t>
  </si>
  <si>
    <t xml:space="preserve">Collector pulls merged PR list + reviews via SCM API</t>
  </si>
  <si>
    <t xml:space="preserve">Ruleset: code-owner review, require_last_push_approval, dismiss stale reviews; Actions not allowed to approve PRs</t>
  </si>
  <si>
    <t xml:space="preserve">CHG-03</t>
  </si>
  <si>
    <t xml:space="preserve">Automated testing in CI</t>
  </si>
  <si>
    <t xml:space="preserve">CI runs unit/integration tests on every PR; failing tests block merge.</t>
  </si>
  <si>
    <t xml:space="preserve">CI, SCM</t>
  </si>
  <si>
    <t xml:space="preserve">Required status checks config; CI run logs for sampled PRs</t>
  </si>
  <si>
    <t xml:space="preserve">CI run metadata archived to evidence store</t>
  </si>
  <si>
    <t xml:space="preserve">1) Inquire of Engineering Manager to understand the control. 2) Inspect the configuration in CI, SCM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</si>
  <si>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Required status check 'ci / test' in GitHub Actions</t>
  </si>
  <si>
    <t xml:space="preserve">CHG-04</t>
  </si>
  <si>
    <t xml:space="preserve">Security scanning in pipeline</t>
  </si>
  <si>
    <t xml:space="preserve">SAST, dependency (SCA), secret scanning and container image scanning run in CI; critical/high findings block release unless an approved exception exists.</t>
  </si>
  <si>
    <t xml:space="preserve">CI, SEC, REG</t>
  </si>
  <si>
    <t xml:space="preserve">AppSec Lead</t>
  </si>
  <si>
    <t xml:space="preserve">CC8.1, CC7.1, CC6.8</t>
  </si>
  <si>
    <t xml:space="preserve">Scanner config; pipeline gate policy; findings and exception tickets</t>
  </si>
  <si>
    <t xml:space="preserve">Scanner results exported to SIEM/GRC</t>
  </si>
  <si>
    <t xml:space="preserve">1) Inquire of AppSec Lead to understand the control. 2) Inspect the configuration in CI, SEC, REG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</si>
  <si>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CodeQL (ruleset code_scanning rule, High+ blocks), dependency-review action, secret scanning push protection with delegated bypass</t>
  </si>
  <si>
    <t xml:space="preserve">Pipeline-only production deployment</t>
  </si>
  <si>
    <t xml:space="preserve">Production deployments occur only through the CI/CD pipeline using a deploy identity; humans have no standing direct write/deploy access to production.</t>
  </si>
  <si>
    <t xml:space="preserve">CI, CLD, K8S</t>
  </si>
  <si>
    <t xml:space="preserve">CC8.1, CC6.1, CC5.2</t>
  </si>
  <si>
    <t xml:space="preserve">Deploy role trust policy; IAM exports; cloud audit logs showing deploys by pipeline identity</t>
  </si>
  <si>
    <t xml:space="preserve">Monthly query of cloud audit logs for non-pipeline prod changes</t>
  </si>
  <si>
    <t xml:space="preserve">1) Inquire of Platform Engineering to understand the control. 2) Inspect the configuration in CI, CLD, K8S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</si>
  <si>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Cloud role trusts GitHub OIDC sub '...:environment:production' only; production environment with ServiceNow deployment gate; admin bypass disabled</t>
  </si>
  <si>
    <t xml:space="preserve">CHG-06</t>
  </si>
  <si>
    <t xml:space="preserve">Deployment traceability</t>
  </si>
  <si>
    <t xml:space="preserve">Every production deployment is traceable to a commit SHA, approved PR, pipeline run and (where required) change ticket.</t>
  </si>
  <si>
    <t xml:space="preserve">CI, SCM, ITSM, REG</t>
  </si>
  <si>
    <t xml:space="preserve">CC8.1, CC2.1</t>
  </si>
  <si>
    <t xml:space="preserve">Deployment log linking SHA -&gt; PR -&gt; pipeline run -&gt; artifact digest</t>
  </si>
  <si>
    <t xml:space="preserve">Pipeline emits deployment record to evidence store</t>
  </si>
  <si>
    <t xml:space="preserve">1) Inquire of Engineering Manager to understand the control. 2) Inspect the configuration in CI, SCM, ITSM, REG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</si>
  <si>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ServiceNow DevOps Change Velocity change per production deployment; quarterly GitHub deployments ↔ ServiceNow change reconciliation</t>
  </si>
  <si>
    <t xml:space="preserve">Signed, provenance-attested artifacts</t>
  </si>
  <si>
    <t xml:space="preserve">Build artifacts are produced by the CI system, signed, and carry build provenance; admission policy rejects unsigned images in production.</t>
  </si>
  <si>
    <t xml:space="preserve">CI, REG, K8S</t>
  </si>
  <si>
    <t xml:space="preserve">CC8.1, CC6.8</t>
  </si>
  <si>
    <t xml:space="preserve">Signing config; admission policy; sample verification output</t>
  </si>
  <si>
    <t xml:space="preserve">Admission controller logs to SIEM</t>
  </si>
  <si>
    <t xml:space="preserve">1) Inquire of Platform Engineering to understand the control. 2) Inspect the configuration in CI, REG, K8S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</si>
  <si>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actions/attest-build-provenance; 'gh attestation verify' before deploy; cluster admission policy</t>
  </si>
  <si>
    <t xml:space="preserve">CHG-08</t>
  </si>
  <si>
    <t xml:space="preserve">Environment segregation</t>
  </si>
  <si>
    <t xml:space="preserve">Development, staging and production are logically separated (separate accounts/projects/clusters); production data is not used in non-production without approval and masking.</t>
  </si>
  <si>
    <t xml:space="preserve">CLD, K8S, IAC</t>
  </si>
  <si>
    <t xml:space="preserve">CC8.1, CC6.1</t>
  </si>
  <si>
    <t xml:space="preserve">Account/project structure diagram; network config; IAM boundaries</t>
  </si>
  <si>
    <t xml:space="preserve">IaC state export</t>
  </si>
  <si>
    <t xml:space="preserve">1) Inquire of Platform Engineering to understand the control. 2) Inspect the configuration in CLD, K8S, IAC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</si>
  <si>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CHG-09</t>
  </si>
  <si>
    <t xml:space="preserve">Emergency change procedure</t>
  </si>
  <si>
    <t xml:space="preserve">Emergency changes follow an expedited path and receive retrospective review and approval within 2 business days.</t>
  </si>
  <si>
    <t xml:space="preserve">ITSM, SCM</t>
  </si>
  <si>
    <t xml:space="preserve">Emergency change tickets with retrospective approval</t>
  </si>
  <si>
    <t xml:space="preserve">Ticket type 'emergency-change' with SLA timer</t>
  </si>
  <si>
    <t xml:space="preserve">1) Inquire of Engineering Manager. 2) Obtain the complete population of occurrences for the period and verify completeness (system-generated list). 3) Select a sample per the Sampling Guide. 4) Inspect evidence (Emergency change tickets with retrospective approval) for performance, timeliness, reviewer independence and follow-up of exceptions.</t>
  </si>
  <si>
    <t xml:space="preserve">ServiceNow Emergency change model; retrospective approval task ≤2 BD; ruleset bypass only via settings-as-code break-glass</t>
  </si>
  <si>
    <t xml:space="preserve">CHG-10</t>
  </si>
  <si>
    <t xml:space="preserve">Infrastructure changes via IaC</t>
  </si>
  <si>
    <t xml:space="preserve">Infrastructure changes are defined in IaC, peer reviewed, planned in CI (plan output attached), and applied by the pipeline.</t>
  </si>
  <si>
    <t xml:space="preserve">IAC, SCM, CI, CLD</t>
  </si>
  <si>
    <t xml:space="preserve">CC8.1, CC7.1</t>
  </si>
  <si>
    <t xml:space="preserve">IaC PRs with plan output and approval; apply logs</t>
  </si>
  <si>
    <t xml:space="preserve">Pipeline archives plan/apply logs</t>
  </si>
  <si>
    <t xml:space="preserve">1) Inquire of Platform Engineering to understand the control. 2) Inspect the configuration in IAC, SCM, CI, CLD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</si>
  <si>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IaC PRs in GitHub; plan posted by Actions; apply by Actions via OIDC</t>
  </si>
  <si>
    <t xml:space="preserve">Pipeline configuration protected</t>
  </si>
  <si>
    <t xml:space="preserve">CI/CD pipeline definitions, runners and secrets are protected: workflow file changes require code-owner review; third-party actions/plugins are pinned by digest; runners are ephemeral.</t>
  </si>
  <si>
    <t xml:space="preserve">CI, SCM, VAULT</t>
  </si>
  <si>
    <t xml:space="preserve">CC8.1, CC6.1, CC6.8</t>
  </si>
  <si>
    <t xml:space="preserve">CODEOWNERS for pipeline paths; pinning policy check; runner config</t>
  </si>
  <si>
    <t xml:space="preserve">Policy check in CI flags unpinned dependencies</t>
  </si>
  <si>
    <t xml:space="preserve">1) Inquire of Platform Engineering to understand the control. 2) Inspect the configuration in CI, SCM, VAULT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</si>
  <si>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Actions policy: allowed-actions list + require full-length SHA pinning; default GITHUB_TOKEN read-only; CODEOWNERS on .github/; ephemeral runners</t>
  </si>
  <si>
    <t xml:space="preserve">CHG-12</t>
  </si>
  <si>
    <t xml:space="preserve">Secure SDLC and design review</t>
  </si>
  <si>
    <t xml:space="preserve">Significant features undergo threat modeling/security design review before development; SDLC is documented.</t>
  </si>
  <si>
    <t xml:space="preserve">CC8.1, CC3.4</t>
  </si>
  <si>
    <t xml:space="preserve">Design review tickets/threat models for sampled features</t>
  </si>
  <si>
    <t xml:space="preserve">Label-driven workflow in ITSM</t>
  </si>
  <si>
    <t xml:space="preserve">1) Inquire of AppSec Lead. 2) Obtain the complete population of occurrences for the period and verify completeness (system-generated list). 3) Select a sample per the Sampling Guide. 4) Inspect evidence (Design review tickets/threat models for sampled features) for performance, timeliness, reviewer independence and follow-up of exceptions.</t>
  </si>
  <si>
    <t xml:space="preserve">ServiceNow catalog item 'Security design review'</t>
  </si>
  <si>
    <t xml:space="preserve">INF-01</t>
  </si>
  <si>
    <t xml:space="preserve">Hardened baseline configurations</t>
  </si>
  <si>
    <t xml:space="preserve">Cloud accounts, clusters and images are built from hardened baselines (e.g., CIS benchmarks) defined in code.</t>
  </si>
  <si>
    <t xml:space="preserve">IAC, CLD, K8S</t>
  </si>
  <si>
    <t xml:space="preserve">CC7.1, CC5.2</t>
  </si>
  <si>
    <t xml:space="preserve">Baseline definitions; image build pipeline; benchmark scan results</t>
  </si>
  <si>
    <t xml:space="preserve">CSPM benchmark results exported weekly</t>
  </si>
  <si>
    <t xml:space="preserve">1) Inquire of Platform Engineering to understand the control. 2) Inspect the configuration in IAC, CLD, K8S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</si>
  <si>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INF-02</t>
  </si>
  <si>
    <t xml:space="preserve">Configuration drift detection (CSPM)</t>
  </si>
  <si>
    <t xml:space="preserve">Cloud posture management continuously evaluates resources against policy; high-risk misconfigurations generate tickets with SLA.</t>
  </si>
  <si>
    <t xml:space="preserve">CLD, SEC, ITSM</t>
  </si>
  <si>
    <t xml:space="preserve">CC7.1, CC4.1</t>
  </si>
  <si>
    <t xml:space="preserve">CSPM policy set; findings trend; remediation tickets</t>
  </si>
  <si>
    <t xml:space="preserve">CSPM -&gt; ITSM integration auto-creates tickets</t>
  </si>
  <si>
    <t xml:space="preserve">1) Inquire of Platform Engineering to understand the control. 2) Inspect the configuration in CLD, SEC, ITSM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</si>
  <si>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INF-03</t>
  </si>
  <si>
    <t xml:space="preserve">Network security controls</t>
  </si>
  <si>
    <t xml:space="preserve">Production networks restrict inbound traffic to required ports via security groups/firewalls/WAF; administrative access uses zero-trust proxy or bastion with SSO; no public admin ports.</t>
  </si>
  <si>
    <t xml:space="preserve">CLD, IAC, K8S</t>
  </si>
  <si>
    <t xml:space="preserve">CC6.6, CC6.1</t>
  </si>
  <si>
    <t xml:space="preserve">Firewall/security-group rules; WAF config; admin access path config</t>
  </si>
  <si>
    <t xml:space="preserve">IaC export; CSPM rule for 0.0.0.0/0 on admin ports</t>
  </si>
  <si>
    <t xml:space="preserve">1) Inquire of Platform Engineering to understand the control. 2) Inspect the configuration in CLD, IAC, K8S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</si>
  <si>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INF-04</t>
  </si>
  <si>
    <t xml:space="preserve">Encryption in transit</t>
  </si>
  <si>
    <t xml:space="preserve">External and internal service traffic uses TLS 1.2+; weak ciphers are disabled.</t>
  </si>
  <si>
    <t xml:space="preserve">CLD, K8S</t>
  </si>
  <si>
    <t xml:space="preserve">CC6.7, CC6.1</t>
  </si>
  <si>
    <t xml:space="preserve">Load balancer TLS policy; TLS scan results</t>
  </si>
  <si>
    <t xml:space="preserve">Scheduled external TLS scan</t>
  </si>
  <si>
    <t xml:space="preserve">1) Inquire of Platform Engineering to understand the control. 2) Inspect the configuration in CLD, K8S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</si>
  <si>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INF-05</t>
  </si>
  <si>
    <t xml:space="preserve">Encryption at rest and key management</t>
  </si>
  <si>
    <t xml:space="preserve">Production data stores, backups and volumes are encrypted at rest using managed KMS keys; key access is restricted and key usage logged.</t>
  </si>
  <si>
    <t xml:space="preserve">CLD, VAULT</t>
  </si>
  <si>
    <t xml:space="preserve">CC6.1, CC6.7</t>
  </si>
  <si>
    <t xml:space="preserve">Encryption settings export; KMS key policies</t>
  </si>
  <si>
    <t xml:space="preserve">CSPM rule for unencrypted storage</t>
  </si>
  <si>
    <t xml:space="preserve">1) Inquire of Platform Engineering to understand the control. 2) Inspect the configuration in CLD, VAULT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</si>
  <si>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INF-06</t>
  </si>
  <si>
    <t xml:space="preserve">Secrets management</t>
  </si>
  <si>
    <t xml:space="preserve">Application and pipeline secrets are stored in a secrets manager, injected at runtime, and never committed to source; secret scanning is enforced with push protection.</t>
  </si>
  <si>
    <t xml:space="preserve">VAULT, SCM, CI</t>
  </si>
  <si>
    <t xml:space="preserve">Secrets manager config; push-protection setting; scanning alerts</t>
  </si>
  <si>
    <t xml:space="preserve">SCM secret-scanning alerts exported</t>
  </si>
  <si>
    <t xml:space="preserve">1) Inquire of Platform Engineering to understand the control. 2) Inspect the configuration in VAULT, SCM, CI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</si>
  <si>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GitHub secret scanning + push protection (delegated bypass → Security); secrets only as environment secrets</t>
  </si>
  <si>
    <t xml:space="preserve">INF-07</t>
  </si>
  <si>
    <t xml:space="preserve">Asset inventory</t>
  </si>
  <si>
    <t xml:space="preserve">An inventory of cloud resources, endpoints, repositories and SaaS applications is maintained automatically and reviewed quarterly.</t>
  </si>
  <si>
    <t xml:space="preserve">CLD, MDM, SCM, IDP, GRC</t>
  </si>
  <si>
    <t xml:space="preserve">Continuous / Quarterly review</t>
  </si>
  <si>
    <t xml:space="preserve">IT / Platform Engineering</t>
  </si>
  <si>
    <t xml:space="preserve">CC6.1, CC2.1, CC3.2</t>
  </si>
  <si>
    <t xml:space="preserve">Inventory exports; quarterly review record</t>
  </si>
  <si>
    <t xml:space="preserve">Collectors pull cloud asset, MDM and SCM repo lists nightly</t>
  </si>
  <si>
    <t xml:space="preserve">1) Inquire of IT / Platform Engineering to understand the control. 2) Inspect the configuration in CLD, MDM, SCM, IDP, GRC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</si>
  <si>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Endpoint security</t>
  </si>
  <si>
    <t xml:space="preserve">Company endpoints are enrolled in MDM with disk encryption, screen lock, OS updates and EDR/anti-malware enforced; non-compliant devices are blocked from SSO.</t>
  </si>
  <si>
    <t xml:space="preserve">MDM, IDP</t>
  </si>
  <si>
    <t xml:space="preserve">CC6.8, CC6.1, CC6.7</t>
  </si>
  <si>
    <t xml:space="preserve">MDM compliance report; device-trust policy in IdP</t>
  </si>
  <si>
    <t xml:space="preserve">MDM compliance export weekly</t>
  </si>
  <si>
    <t xml:space="preserve">1) Inquire of IT / Identity Admin to understand the control. 2) Inspect the configuration in MDM, IDP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</si>
  <si>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INF-09</t>
  </si>
  <si>
    <t xml:space="preserve">Data disposal and media sanitization</t>
  </si>
  <si>
    <t xml:space="preserve">Customer data is deleted per contract/retention schedule; decommissioned endpoints are wiped; cloud provider media destruction relied upon via CUEC/sub-service SOC report.</t>
  </si>
  <si>
    <t xml:space="preserve">CLD, MDM, ITSM</t>
  </si>
  <si>
    <t xml:space="preserve">CC6.5</t>
  </si>
  <si>
    <t xml:space="preserve">Deletion tickets/logs; device wipe records; cloud provider SOC 2 review</t>
  </si>
  <si>
    <t xml:space="preserve">MDM wipe logs</t>
  </si>
  <si>
    <t xml:space="preserve">1) Inquire of IT / Platform Engineering. 2) Obtain the complete population of occurrences for the period and verify completeness (system-generated list). 3) Select a sample per the Sampling Guide. 4) Inspect evidence (Deletion tickets/logs) for performance, timeliness, reviewer independence and follow-up of exceptions.</t>
  </si>
  <si>
    <t xml:space="preserve">INF-10</t>
  </si>
  <si>
    <t xml:space="preserve">Physical security (carved-out)</t>
  </si>
  <si>
    <t xml:space="preserve">Physical security of data centers is the responsibility of the cloud provider (sub-service organization, carve-out); office access is badge-controlled where applicable.</t>
  </si>
  <si>
    <t xml:space="preserve">CLD, GRC</t>
  </si>
  <si>
    <t xml:space="preserve">CC6.4</t>
  </si>
  <si>
    <t xml:space="preserve">Cloud provider SOC 2 review memo; office access procedure</t>
  </si>
  <si>
    <t xml:space="preserve">1) Inquire of Compliance Manager. 2) Obtain the complete population of occurrences for the period and verify completeness (system-generated list). 3) Select a sample per the Sampling Guide. 4) Inspect evidence (Cloud provider SOC 2 review memo) for performance, timeliness, reviewer independence and follow-up of exceptions.</t>
  </si>
  <si>
    <t xml:space="preserve">INF-11</t>
  </si>
  <si>
    <t xml:space="preserve">Data loss prevention / egress restrictions</t>
  </si>
  <si>
    <t xml:space="preserve">Transfer of confidential data outside approved systems is restricted (egress controls, storage bucket public-access blocks, DLP on email/SaaS where applicable).</t>
  </si>
  <si>
    <t xml:space="preserve">CLD, MDM, IDP</t>
  </si>
  <si>
    <t xml:space="preserve">CC6.7</t>
  </si>
  <si>
    <t xml:space="preserve">Public access block config; egress rules; DLP policy</t>
  </si>
  <si>
    <t xml:space="preserve">CSPM rule for public buckets</t>
  </si>
  <si>
    <t xml:space="preserve">1) Inquire of CISO / Security Lead to understand the control. 2) Inspect the configuration in CLD, MDM, IDP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</si>
  <si>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VUL-01</t>
  </si>
  <si>
    <t xml:space="preserve">Vulnerability scanning</t>
  </si>
  <si>
    <t xml:space="preserve">Infrastructure, container images and dependencies are scanned at least weekly and on build; findings are triaged and remediated within SLA (Critical 7d, High 30d, Medium 90d).</t>
  </si>
  <si>
    <t xml:space="preserve">SEC, REG, CLD, ITSM</t>
  </si>
  <si>
    <t xml:space="preserve">Weekly / Per build</t>
  </si>
  <si>
    <t xml:space="preserve">CC7.1, CC6.8</t>
  </si>
  <si>
    <t xml:space="preserve">Scan reports; SLA compliance report; remediation tickets</t>
  </si>
  <si>
    <t xml:space="preserve">Scanner -&gt; ITSM auto-ticketing with SLA fields</t>
  </si>
  <si>
    <t xml:space="preserve">1) Inquire of AppSec Lead to understand the control. 2) Inspect the configuration in SEC, REG, CLD, ITSM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</si>
  <si>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Weekly</t>
  </si>
  <si>
    <t xml:space="preserve">GitHub code-scanning / Dependabot / secret-scanning alerts → ServiceNow (Vulnerability Response or incident) with SLA definitions</t>
  </si>
  <si>
    <t xml:space="preserve">Annual penetration test</t>
  </si>
  <si>
    <t xml:space="preserve">An independent penetration test of the production application and infrastructure is performed annually; findings are remediated within SLA.</t>
  </si>
  <si>
    <t xml:space="preserve">SEC, ITSM</t>
  </si>
  <si>
    <t xml:space="preserve">Pen test report; remediation tickets / retest letter</t>
  </si>
  <si>
    <t xml:space="preserve">1) Inquire of AppSec Lead. 2) Obtain the complete population of occurrences for the period and verify completeness (system-generated list). 3) Select a sample per the Sampling Guide. 4) Inspect evidence (Pen test report) for performance, timeliness, reviewer independence and follow-up of exceptions.</t>
  </si>
  <si>
    <t xml:space="preserve">VUL-03</t>
  </si>
  <si>
    <t xml:space="preserve">Patch management</t>
  </si>
  <si>
    <t xml:space="preserve">OS and runtime patches are applied through rebuilt images deployed via pipeline; managed services patched by provider.</t>
  </si>
  <si>
    <t xml:space="preserve">CI, REG, CLD</t>
  </si>
  <si>
    <t xml:space="preserve">Monthly</t>
  </si>
  <si>
    <t xml:space="preserve">CC7.1</t>
  </si>
  <si>
    <t xml:space="preserve">Base image rebuild logs; image age report</t>
  </si>
  <si>
    <t xml:space="preserve">Report of running images older than 30 days</t>
  </si>
  <si>
    <t xml:space="preserve">1) Inquire of Platform Engineering to understand the control. 2) Inspect the configuration in CI, REG, CLD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</si>
  <si>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MON-01</t>
  </si>
  <si>
    <t xml:space="preserve">Centralized audit logging</t>
  </si>
  <si>
    <t xml:space="preserve">Audit logs from IdP, SCM, CI/CD, cloud control plane, Kubernetes API, and ITSM are forwarded to the SIEM; log sources are monitored for ingestion gaps.</t>
  </si>
  <si>
    <t xml:space="preserve">SIEM, IDP, SCM, CI, CLD, K8S, ITSM</t>
  </si>
  <si>
    <t xml:space="preserve">Security Operations</t>
  </si>
  <si>
    <t xml:space="preserve">CC7.2, CC4.1, CC2.1</t>
  </si>
  <si>
    <t xml:space="preserve">Log source inventory with last-seen timestamps; forwarding configs</t>
  </si>
  <si>
    <t xml:space="preserve">SIEM health check alerts when a source is silent &gt;1h</t>
  </si>
  <si>
    <t xml:space="preserve">1) Inquire of Security Operations to understand the control. 2) Inspect the configuration in SIEM, IDP, SCM, CI, CLD, K8S, ITSM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</si>
  <si>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GitHub enterprise audit-log streaming (incl. Git &amp; API events) → SIEM; ServiceNow log export → SIEM</t>
  </si>
  <si>
    <t xml:space="preserve">MON-02</t>
  </si>
  <si>
    <t xml:space="preserve">Log integrity and retention</t>
  </si>
  <si>
    <t xml:space="preserve">Logs are stored immutably (WORM/object lock) and retained at least 12 months (90 days hot).</t>
  </si>
  <si>
    <t xml:space="preserve">SIEM, CLD</t>
  </si>
  <si>
    <t xml:space="preserve">CC7.2, CC6.1</t>
  </si>
  <si>
    <t xml:space="preserve">Retention and object-lock configuration</t>
  </si>
  <si>
    <t xml:space="preserve">Config export</t>
  </si>
  <si>
    <t xml:space="preserve">1) Inquire of Security Operations to understand the control. 2) Inspect the configuration in SIEM, CLD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</si>
  <si>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MON-03</t>
  </si>
  <si>
    <t xml:space="preserve">Security alerting rules</t>
  </si>
  <si>
    <t xml:space="preserve">Detection rules alert on high-risk events: MFA/branch-protection disabled, admin role grants, break-glass use, pipeline secret access anomalies, public exposure, impossible travel.</t>
  </si>
  <si>
    <t xml:space="preserve">SIEM, ONC</t>
  </si>
  <si>
    <t xml:space="preserve">CC7.2, CC7.3</t>
  </si>
  <si>
    <t xml:space="preserve">Detection rule catalog; sample alerts and triage tickets</t>
  </si>
  <si>
    <t xml:space="preserve">Rules managed as code (detection-as-code repo)</t>
  </si>
  <si>
    <t xml:space="preserve">1) Inquire of Security Operations to understand the control. 2) Inspect the configuration in SIEM, ONC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</si>
  <si>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Detections on GitHub audit events (repository_ruleset.*, protected_branch.policy_override, environment protection changes) and ServiceNow admin/approval events</t>
  </si>
  <si>
    <t xml:space="preserve">MON-04</t>
  </si>
  <si>
    <t xml:space="preserve">Availability and performance monitoring</t>
  </si>
  <si>
    <t xml:space="preserve">Production services are monitored for availability, errors and latency; alerts route to on-call with escalation.</t>
  </si>
  <si>
    <t xml:space="preserve">MON, ONC</t>
  </si>
  <si>
    <t xml:space="preserve">SRE Lead</t>
  </si>
  <si>
    <t xml:space="preserve">CC7.2, CC9.1</t>
  </si>
  <si>
    <t xml:space="preserve">Monitor/alert definitions; on-call schedule; paging history</t>
  </si>
  <si>
    <t xml:space="preserve">Monitors defined as code</t>
  </si>
  <si>
    <t xml:space="preserve">1) Inquire of SRE Lead to understand the control. 2) Inspect the configuration in MON, ONC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</si>
  <si>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MON-05</t>
  </si>
  <si>
    <t xml:space="preserve">Alert triage and ticketing</t>
  </si>
  <si>
    <t xml:space="preserve">Security alerts are triaged within defined SLAs; triage outcome is documented in a ticket.</t>
  </si>
  <si>
    <t xml:space="preserve">SIEM, ITSM, ONC</t>
  </si>
  <si>
    <t xml:space="preserve">CC7.3</t>
  </si>
  <si>
    <t xml:space="preserve">Alert-to-ticket linkage; triage timestamps for sampled alerts</t>
  </si>
  <si>
    <t xml:space="preserve">SIEM -&gt; ITSM integration</t>
  </si>
  <si>
    <t xml:space="preserve">1) Inquire of Security Operations. 2) Obtain the complete population of occurrences for the period and verify completeness (system-generated list). 3) Select a sample per the Sampling Guide. 4) Inspect evidence (Alert-to-ticket linkage) for performance, timeliness, reviewer independence and follow-up of exceptions.</t>
  </si>
  <si>
    <t xml:space="preserve">SIEM → ServiceNow incident / Security Incident Response</t>
  </si>
  <si>
    <t xml:space="preserve">MON-06</t>
  </si>
  <si>
    <t xml:space="preserve">Control-drift monitoring (continuous compliance)</t>
  </si>
  <si>
    <t xml:space="preserve">Automated checks verify key controls (SSO enforcement, branch protection, MFA, encryption, logging) daily; failures alert control owners and are tracked.</t>
  </si>
  <si>
    <t xml:space="preserve">GRC, SCM, IDP, CLD</t>
  </si>
  <si>
    <t xml:space="preserve">Daily</t>
  </si>
  <si>
    <t xml:space="preserve">CC4.1, CC4.2, CC5.2</t>
  </si>
  <si>
    <t xml:space="preserve">Control check results history; failure tickets</t>
  </si>
  <si>
    <t xml:space="preserve">Evidence collectors + policy engine</t>
  </si>
  <si>
    <t xml:space="preserve">1) Inquire of Compliance Manager to understand the control. 2) Inspect the configuration in GRC, SCM, IDP, CLD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</si>
  <si>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IR-01</t>
  </si>
  <si>
    <t xml:space="preserve">Incident response plan</t>
  </si>
  <si>
    <t xml:space="preserve">An incident response plan defines roles, severity levels, communication, evidence preservation and notification obligations; reviewed annually.</t>
  </si>
  <si>
    <t xml:space="preserve">CC7.3, CC7.4, CC7.5, CC2.3</t>
  </si>
  <si>
    <t xml:space="preserve">Approved IR plan with review date</t>
  </si>
  <si>
    <t xml:space="preserve">1) Inquire of CISO / Security Lead. 2) Obtain the complete population of occurrences for the period and verify completeness (system-generated list). 3) Select a sample per the Sampling Guide. 4) Inspect evidence (Approved IR plan with review date) for performance, timeliness, reviewer independence and follow-up of exceptions.</t>
  </si>
  <si>
    <t xml:space="preserve">IR-02</t>
  </si>
  <si>
    <t xml:space="preserve">Incident tracking and response</t>
  </si>
  <si>
    <t xml:space="preserve">Security incidents are logged, classified, tracked to resolution and communicated per the IR plan, including customer notification when required.</t>
  </si>
  <si>
    <t xml:space="preserve">ITSM, ONC</t>
  </si>
  <si>
    <t xml:space="preserve">CC7.3, CC7.4, CC2.3</t>
  </si>
  <si>
    <t xml:space="preserve">Incident tickets with timeline, severity, notifications</t>
  </si>
  <si>
    <t xml:space="preserve">Incident tooling timeline export</t>
  </si>
  <si>
    <t xml:space="preserve">1) Inquire of CISO / Security Lead. 2) Obtain the complete population of occurrences for the period and verify completeness (system-generated list). 3) Select a sample per the Sampling Guide. 4) Inspect evidence (Incident tickets with timeline, severity, notifications) for performance, timeliness, reviewer independence and follow-up of exceptions.</t>
  </si>
  <si>
    <t xml:space="preserve">ServiceNow Security Incident Response (or incident category=Security, P1–P2)</t>
  </si>
  <si>
    <t xml:space="preserve">IR-03</t>
  </si>
  <si>
    <t xml:space="preserve">Post-incident review</t>
  </si>
  <si>
    <t xml:space="preserve">Sev1/Sev2 incidents receive a blameless post-incident review with corrective actions tracked to closure.</t>
  </si>
  <si>
    <t xml:space="preserve">CC7.4, CC7.5, CC4.2</t>
  </si>
  <si>
    <t xml:space="preserve">Post-incident reports; corrective action tickets</t>
  </si>
  <si>
    <t xml:space="preserve">1) Inquire of CISO / Security Lead. 2) Obtain the complete population of occurrences for the period and verify completeness (system-generated list). 3) Select a sample per the Sampling Guide. 4) Inspect evidence (Post-incident reports) for performance, timeliness, reviewer independence and follow-up of exceptions.</t>
  </si>
  <si>
    <t xml:space="preserve">ServiceNow problem / PIR record linked to incident</t>
  </si>
  <si>
    <t xml:space="preserve">IR-04</t>
  </si>
  <si>
    <t xml:space="preserve">Annual IR tabletop exercise</t>
  </si>
  <si>
    <t xml:space="preserve">An incident response tabletop exercise is conducted at least annually; lessons learned update the plan.</t>
  </si>
  <si>
    <t xml:space="preserve">CC7.4, CC7.5</t>
  </si>
  <si>
    <t xml:space="preserve">Tabletop report with attendees and outcomes</t>
  </si>
  <si>
    <t xml:space="preserve">1) Inquire of CISO / Security Lead. 2) Obtain the complete population of occurrences for the period and verify completeness (system-generated list). 3) Select a sample per the Sampling Guide. 4) Inspect evidence (Tabletop report with attendees and outcomes) for performance, timeliness, reviewer independence and follow-up of exceptions.</t>
  </si>
  <si>
    <t xml:space="preserve">BCP-01</t>
  </si>
  <si>
    <t xml:space="preserve">Automated backups</t>
  </si>
  <si>
    <t xml:space="preserve">Production databases and critical data stores are backed up automatically per defined RPO; backups are encrypted and stored in a separate account/region.</t>
  </si>
  <si>
    <t xml:space="preserve">BKP, CLD</t>
  </si>
  <si>
    <t xml:space="preserve">CC7.5, CC9.1</t>
  </si>
  <si>
    <t xml:space="preserve">Backup policy configuration; backup job success report</t>
  </si>
  <si>
    <t xml:space="preserve">Backup job status exported daily; failures alert on-call</t>
  </si>
  <si>
    <t xml:space="preserve">1) Inquire of SRE Lead to understand the control. 2) Inspect the configuration in BKP, CLD at a point in time. 3) Inspect change/drift history to confirm the configuration was in effect throughout the period. 4) Where feasible, re-perform (attempt a prohibited action) and observe it is blocked or alerted. 5) Rely on ITGCs (CHG-01, IAM-04) over the configuration.</t>
  </si>
  <si>
    <t xml:space="preserve">BCP-02</t>
  </si>
  <si>
    <t xml:space="preserve">Backup restoration test</t>
  </si>
  <si>
    <t xml:space="preserve">Restores from backup are tested at least quarterly and results documented against RTO/RPO.</t>
  </si>
  <si>
    <t xml:space="preserve">BKP, ITSM</t>
  </si>
  <si>
    <t xml:space="preserve">Restore test tickets with results and timings</t>
  </si>
  <si>
    <t xml:space="preserve">1) Inquire of SRE Lead. 2) Obtain the complete population of occurrences for the period and verify completeness (system-generated list). 3) Select a sample per the Sampling Guide. 4) Inspect evidence (Restore test tickets with results and timings) for performance, timeliness, reviewer independence and follow-up of exceptions.</t>
  </si>
  <si>
    <t xml:space="preserve">BCP-03</t>
  </si>
  <si>
    <t xml:space="preserve">BC/DR plan and annual test</t>
  </si>
  <si>
    <t xml:space="preserve">A BC/DR plan with RTO/RPO for critical services is maintained and tested annually (failover or tabletop).</t>
  </si>
  <si>
    <t xml:space="preserve">BC/DR plan; DR test report</t>
  </si>
  <si>
    <t xml:space="preserve">1) Inquire of SRE Lead. 2) Obtain the complete population of occurrences for the period and verify completeness (system-generated list). 3) Select a sample per the Sampling Guide. 4) Inspect evidence (BC/DR plan) for performance, timeliness, reviewer independence and follow-up of exceptions.</t>
  </si>
  <si>
    <t xml:space="preserve">BCP-04</t>
  </si>
  <si>
    <t xml:space="preserve">Resilient architecture</t>
  </si>
  <si>
    <t xml:space="preserve">Production is deployed across multiple availability zones with health checks and auto-recovery; infrastructure can be rebuilt from IaC.</t>
  </si>
  <si>
    <t xml:space="preserve">CC9.1, CC7.5</t>
  </si>
  <si>
    <t xml:space="preserve">Architecture diagram; multi-AZ config export</t>
  </si>
  <si>
    <t xml:space="preserve">IaC export</t>
  </si>
  <si>
    <t xml:space="preserve">Criterion</t>
  </si>
  <si>
    <t xml:space="preserve">Category</t>
  </si>
  <si>
    <t xml:space="preserve">Summary (paraphrased)</t>
  </si>
  <si>
    <t xml:space="preserve"># Mapped Controls</t>
  </si>
  <si>
    <t xml:space="preserve"># Implemented</t>
  </si>
  <si>
    <t xml:space="preserve">Design Coverage</t>
  </si>
  <si>
    <t xml:space="preserve">Readiness</t>
  </si>
  <si>
    <t xml:space="preserve">CC1.1</t>
  </si>
  <si>
    <t xml:space="preserve">Control Environment</t>
  </si>
  <si>
    <t xml:space="preserve">Demonstrates commitment to integrity and ethical values</t>
  </si>
  <si>
    <t xml:space="preserve">CC1.2</t>
  </si>
  <si>
    <t xml:space="preserve">Board exercises oversight responsibility, independent of management</t>
  </si>
  <si>
    <t xml:space="preserve">Management establishes structures, reporting lines, authorities and responsibilities</t>
  </si>
  <si>
    <t xml:space="preserve">Demonstrates commitment to attract, develop and retain competent individuals</t>
  </si>
  <si>
    <t xml:space="preserve">Holds individuals accountable for internal control responsibilities</t>
  </si>
  <si>
    <t xml:space="preserve">CC2.1</t>
  </si>
  <si>
    <t xml:space="preserve">Communication &amp; Information</t>
  </si>
  <si>
    <t xml:space="preserve">Obtains/generates and uses relevant, quality information</t>
  </si>
  <si>
    <t xml:space="preserve">CC2.2</t>
  </si>
  <si>
    <t xml:space="preserve">Internally communicates objectives and responsibilities for internal control</t>
  </si>
  <si>
    <t xml:space="preserve">Communicates with external parties regarding internal control matters</t>
  </si>
  <si>
    <t xml:space="preserve">Risk Assessment</t>
  </si>
  <si>
    <t xml:space="preserve">Specifies objectives with sufficient clarity to identify and assess risks</t>
  </si>
  <si>
    <t xml:space="preserve">CC3.2</t>
  </si>
  <si>
    <t xml:space="preserve">Identifies and analyzes risks to the achievement of objectives</t>
  </si>
  <si>
    <t xml:space="preserve">CC3.3</t>
  </si>
  <si>
    <t xml:space="preserve">Considers the potential for fraud in assessing risks</t>
  </si>
  <si>
    <t xml:space="preserve">CC3.4</t>
  </si>
  <si>
    <t xml:space="preserve">Identifies and assesses changes that could significantly impact internal control</t>
  </si>
  <si>
    <t xml:space="preserve">CC4.1</t>
  </si>
  <si>
    <t xml:space="preserve">Monitoring Activities</t>
  </si>
  <si>
    <t xml:space="preserve">Selects, develops and performs ongoing and/or separate evaluations</t>
  </si>
  <si>
    <t xml:space="preserve">CC4.2</t>
  </si>
  <si>
    <t xml:space="preserve">Evaluates and communicates internal control deficiencies in a timely manner</t>
  </si>
  <si>
    <t xml:space="preserve">CC5.1</t>
  </si>
  <si>
    <t xml:space="preserve">Control Activities</t>
  </si>
  <si>
    <t xml:space="preserve">Selects and develops control activities that mitigate risks</t>
  </si>
  <si>
    <t xml:space="preserve">CC5.2</t>
  </si>
  <si>
    <t xml:space="preserve">Selects and develops general control activities over technology</t>
  </si>
  <si>
    <t xml:space="preserve">CC5.3</t>
  </si>
  <si>
    <t xml:space="preserve">Deploys control activities through policies and procedures</t>
  </si>
  <si>
    <t xml:space="preserve">Logical &amp; Physical Access</t>
  </si>
  <si>
    <t xml:space="preserve">Logical access security software, infrastructure and architectures</t>
  </si>
  <si>
    <t xml:space="preserve">CC6.2</t>
  </si>
  <si>
    <t xml:space="preserve">Registers and authorizes new users prior to issuing credentials</t>
  </si>
  <si>
    <t xml:space="preserve">CC6.3</t>
  </si>
  <si>
    <t xml:space="preserve">Authorizes, modifies or removes access based on roles and least privilege</t>
  </si>
  <si>
    <t xml:space="preserve">Restricts physical access to facilities and protected information assets</t>
  </si>
  <si>
    <t xml:space="preserve">Discontinues logical and physical protections over assets on disposal</t>
  </si>
  <si>
    <t xml:space="preserve">CC6.6</t>
  </si>
  <si>
    <t xml:space="preserve">Implements logical access measures against threats from outside system boundaries</t>
  </si>
  <si>
    <t xml:space="preserve">Restricts transmission, movement and removal of information</t>
  </si>
  <si>
    <t xml:space="preserve">CC6.8</t>
  </si>
  <si>
    <t xml:space="preserve">Prevents or detects unauthorized or malicious software</t>
  </si>
  <si>
    <t xml:space="preserve">System Operations</t>
  </si>
  <si>
    <t xml:space="preserve">Uses detection and monitoring procedures to identify configuration changes and vulnerabilities</t>
  </si>
  <si>
    <t xml:space="preserve">CC7.2</t>
  </si>
  <si>
    <t xml:space="preserve">Monitors system components for anomalies indicative of malicious acts or errors</t>
  </si>
  <si>
    <t xml:space="preserve">Evaluates security events to determine whether they are incidents</t>
  </si>
  <si>
    <t xml:space="preserve">CC7.4</t>
  </si>
  <si>
    <t xml:space="preserve">Responds to identified security incidents via a defined program</t>
  </si>
  <si>
    <t xml:space="preserve">CC7.5</t>
  </si>
  <si>
    <t xml:space="preserve">Identifies, develops and implements activities to recover from incidents</t>
  </si>
  <si>
    <t xml:space="preserve">Authorizes, designs, develops, configures, documents, tests, approves and implements changes</t>
  </si>
  <si>
    <t xml:space="preserve">Risk Mitigation</t>
  </si>
  <si>
    <t xml:space="preserve">Identifies and develops risk mitigation activities for business disruption</t>
  </si>
  <si>
    <t xml:space="preserve">Assesses and manages risks associated with vendors and business partners</t>
  </si>
  <si>
    <t xml:space="preserve">Mapped control IDs (static reference, generated at build):</t>
  </si>
  <si>
    <t xml:space="preserve">GOV-01, GOV-07, HR-02</t>
  </si>
  <si>
    <t xml:space="preserve">GOV-03, GOV-04, HR-04</t>
  </si>
  <si>
    <t xml:space="preserve">HR-01, HR-03, HR-04</t>
  </si>
  <si>
    <t xml:space="preserve">HR-02, HR-04, HR-05</t>
  </si>
  <si>
    <t xml:space="preserve">GOV-04, GOV-08, CHG-06, INF-07, MON-01</t>
  </si>
  <si>
    <t xml:space="preserve">GOV-01, GOV-07, HR-02, HR-03</t>
  </si>
  <si>
    <t xml:space="preserve">GOV-06, GOV-07, VEN-02, IR-01, IR-02</t>
  </si>
  <si>
    <t xml:space="preserve">RSK-01, RSK-02</t>
  </si>
  <si>
    <t xml:space="preserve">RSK-01, INF-07</t>
  </si>
  <si>
    <t xml:space="preserve">GOV-08, RSK-01, RSK-03, CHG-12</t>
  </si>
  <si>
    <t xml:space="preserve">GOV-04, GOV-05, IAM-04, INF-02, VUL-02, MON-01, MON-06</t>
  </si>
  <si>
    <t xml:space="preserve">GOV-02, GOV-04, GOV-05, MON-06, IR-03</t>
  </si>
  <si>
    <t xml:space="preserve">GOV-05, RSK-01</t>
  </si>
  <si>
    <t xml:space="preserve">CHG-01, CHG-05, INF-01, MON-06</t>
  </si>
  <si>
    <t xml:space="preserve">IAM-01, IAM-05, IAM-06, IAM-07, IAM-08, IAM-09, CHG-05, CHG-08, CHG-11, INF-03, INF-04, INF-05, INF-06, INF-07, INF-08, MON-02</t>
  </si>
  <si>
    <t xml:space="preserve">IAM-01, IAM-02, IAM-03, IAM-04, IAM-07</t>
  </si>
  <si>
    <t xml:space="preserve">IAM-02, IAM-03, IAM-04, IAM-05, IAM-06</t>
  </si>
  <si>
    <t xml:space="preserve">INF-04, INF-05, INF-06, INF-08, INF-11</t>
  </si>
  <si>
    <t xml:space="preserve">CHG-04, CHG-07, CHG-11, INF-08, VUL-01</t>
  </si>
  <si>
    <t xml:space="preserve">CHG-04, CHG-10, INF-01, INF-02, VUL-01, VUL-02, VUL-03</t>
  </si>
  <si>
    <t xml:space="preserve">IAM-06, IAM-09, MON-01, MON-02, MON-03, MON-04</t>
  </si>
  <si>
    <t xml:space="preserve">MON-03, MON-05, IR-01, IR-02</t>
  </si>
  <si>
    <t xml:space="preserve">IR-01, IR-02, IR-03, IR-04</t>
  </si>
  <si>
    <t xml:space="preserve">IR-01, IR-03, IR-04, BCP-01, BCP-02, BCP-03, BCP-04</t>
  </si>
  <si>
    <t xml:space="preserve">CHG-01, CHG-02, CHG-03, CHG-04, CHG-05, CHG-06, CHG-07, CHG-08, CHG-09, CHG-10, CHG-11, CHG-12</t>
  </si>
  <si>
    <t xml:space="preserve">RSK-03, RSK-04, MON-04, BCP-01, BCP-02, BCP-03, BCP-04</t>
  </si>
  <si>
    <t xml:space="preserve">VEN-01, VEN-02, VEN-03</t>
  </si>
  <si>
    <t xml:space="preserve">Code</t>
  </si>
  <si>
    <t xml:space="preserve">Example Tools (vendor-neutral)</t>
  </si>
  <si>
    <t xml:space="preserve">Your Tool</t>
  </si>
  <si>
    <t xml:space="preserve">Identity / Auth Integration</t>
  </si>
  <si>
    <t xml:space="preserve">Audit Log Export</t>
  </si>
  <si>
    <t xml:space="preserve">Integrates With</t>
  </si>
  <si>
    <t xml:space="preserve">Data Handled (Classification)</t>
  </si>
  <si>
    <t xml:space="preserve">Evidence Produced</t>
  </si>
  <si>
    <t xml:space="preserve">Key Controls</t>
  </si>
  <si>
    <t xml:space="preserve">System Owner</t>
  </si>
  <si>
    <t xml:space="preserve">Source Control</t>
  </si>
  <si>
    <t xml:space="preserve">CI/CD</t>
  </si>
  <si>
    <t xml:space="preserve">e.g., GitHub, GitLab, Bitbucket</t>
  </si>
  <si>
    <t xml:space="preserve">GitHub Enterprise Cloud</t>
  </si>
  <si>
    <t xml:space="preserve">SAML/OIDC SSO via IdP + SCIM; enforce SSO for org</t>
  </si>
  <si>
    <t xml:space="preserve">Audit log streaming to SIEM (webhook / streaming API)</t>
  </si>
  <si>
    <t xml:space="preserve">CI, SEC, ITSM, IDP, SIEM</t>
  </si>
  <si>
    <t xml:space="preserve">Source code, IaC, pipeline definitions (Confidential)</t>
  </si>
  <si>
    <t xml:space="preserve">Rulesets, merged PR + review data, CODEOWNERS, secret-scanning alerts</t>
  </si>
  <si>
    <t xml:space="preserve">CHG-01, CHG-02, CHG-11, INF-06, IAM-01</t>
  </si>
  <si>
    <t xml:space="preserve">CI/CD Pipeline</t>
  </si>
  <si>
    <t xml:space="preserve">e.g., GitHub Actions, GitLab CI, Jenkins, Argo CD</t>
  </si>
  <si>
    <t xml:space="preserve">SSO via IdP; deploy via OIDC workload identity to cloud</t>
  </si>
  <si>
    <t xml:space="preserve">Run logs + audit events to SIEM; deployment records to evidence store</t>
  </si>
  <si>
    <t xml:space="preserve">SCM, REG, CLD, K8S, VAULT, SEC, ITSM</t>
  </si>
  <si>
    <t xml:space="preserve">Build artifacts, deploy metadata, secrets at runtime (Restricted)</t>
  </si>
  <si>
    <t xml:space="preserve">Pipeline run logs, gate results, deployment records (SHA-&gt;PR-&gt;run-&gt;digest)</t>
  </si>
  <si>
    <t xml:space="preserve">CHG-03 to CHG-07, CHG-10, CHG-11</t>
  </si>
  <si>
    <t xml:space="preserve">REG</t>
  </si>
  <si>
    <t xml:space="preserve">Artifact Registry</t>
  </si>
  <si>
    <t xml:space="preserve">e.g., ECR, Artifact Registry, ACR, Harbor, JFrog</t>
  </si>
  <si>
    <t xml:space="preserve">Pull/push by workload identity; humans read-only via SSO</t>
  </si>
  <si>
    <t xml:space="preserve">Registry audit events to SIEM</t>
  </si>
  <si>
    <t xml:space="preserve">CI, K8S, SEC</t>
  </si>
  <si>
    <t xml:space="preserve">Container images, packages (Confidential)</t>
  </si>
  <si>
    <t xml:space="preserve">Image signatures, provenance attestations, scan results</t>
  </si>
  <si>
    <t xml:space="preserve">CHG-07, VUL-01, VUL-03</t>
  </si>
  <si>
    <t xml:space="preserve">Cloud Platform</t>
  </si>
  <si>
    <t xml:space="preserve">e.g., AWS, Azure, GCP</t>
  </si>
  <si>
    <t xml:space="preserve">Federated SSO from IdP to roles; no IAM users; OIDC for CI</t>
  </si>
  <si>
    <t xml:space="preserve">Control-plane audit logs (e.g., CloudTrail / Activity Log / Audit Logs) org-wide to log archive + SIEM</t>
  </si>
  <si>
    <t xml:space="preserve">IAC, CI, K8S, SIEM, BKP, VAULT, SEC</t>
  </si>
  <si>
    <t xml:space="preserve">Production customer data (Restricted)</t>
  </si>
  <si>
    <t xml:space="preserve">IAM exports, config/asset inventory, encryption settings, audit logs</t>
  </si>
  <si>
    <t xml:space="preserve">IAM-05, CHG-05, CHG-08, INF-01 to INF-05, BCP-04</t>
  </si>
  <si>
    <t xml:space="preserve">IaC / Config Mgmt</t>
  </si>
  <si>
    <t xml:space="preserve">e.g., Terraform/OpenTofu, Pulumi, CloudFormation, Ansible</t>
  </si>
  <si>
    <t xml:space="preserve">Executed only by pipeline identity; state in encrypted remote backend</t>
  </si>
  <si>
    <t xml:space="preserve">Plan/apply logs archived by pipeline</t>
  </si>
  <si>
    <t xml:space="preserve">SCM, CI, CLD</t>
  </si>
  <si>
    <t xml:space="preserve">Infrastructure definitions, state files (Restricted)</t>
  </si>
  <si>
    <t xml:space="preserve">Plan outputs, apply logs, policy-as-code results</t>
  </si>
  <si>
    <t xml:space="preserve">CHG-10, INF-01, INF-03, IAM-05</t>
  </si>
  <si>
    <t xml:space="preserve">Container Orchestration</t>
  </si>
  <si>
    <t xml:space="preserve">e.g., EKS, AKS, GKE, OpenShift</t>
  </si>
  <si>
    <t xml:space="preserve">OIDC to IdP groups for humans; workload identity for pods</t>
  </si>
  <si>
    <t xml:space="preserve">API server audit logs to SIEM</t>
  </si>
  <si>
    <t xml:space="preserve">CI, REG, CLD, SIEM, VAULT</t>
  </si>
  <si>
    <t xml:space="preserve">Running workloads, customer data in transit (Restricted)</t>
  </si>
  <si>
    <t xml:space="preserve">RBAC bindings, admission policy, audit logs</t>
  </si>
  <si>
    <t xml:space="preserve">CHG-07, INF-01, INF-03, IAM-05</t>
  </si>
  <si>
    <t xml:space="preserve">Identity Provider</t>
  </si>
  <si>
    <t xml:space="preserve">e.g., Okta, Microsoft Entra ID, Google Workspace, JumpCloud</t>
  </si>
  <si>
    <t xml:space="preserve">Admin console with phishing-resistant MFA; admin roles least-privileged</t>
  </si>
  <si>
    <t xml:space="preserve">System log to SIEM</t>
  </si>
  <si>
    <t xml:space="preserve">HRIS, all SSO apps (SCIM), MDM, SIEM</t>
  </si>
  <si>
    <t xml:space="preserve">Identities, group membership (Confidential)</t>
  </si>
  <si>
    <t xml:space="preserve">Auth policies, user/group exports, deprovisioning timestamps</t>
  </si>
  <si>
    <t xml:space="preserve">IAM-01 to IAM-04, IAM-08</t>
  </si>
  <si>
    <t xml:space="preserve">e.g., Workday, BambooHR, Rippling, HiBob</t>
  </si>
  <si>
    <t xml:space="preserve">SSO via IdP</t>
  </si>
  <si>
    <t xml:space="preserve">Joiner/mover/leaver events to IdP; reports for audit</t>
  </si>
  <si>
    <t xml:space="preserve">IDP, LMS/GRC</t>
  </si>
  <si>
    <t xml:space="preserve">Employee PII (Confidential)</t>
  </si>
  <si>
    <t xml:space="preserve">Hire/term lists, background checks, acknowledgments, training</t>
  </si>
  <si>
    <t xml:space="preserve">HR-01 to HR-04, IAM-02, IAM-03</t>
  </si>
  <si>
    <t xml:space="preserve">Logging / SIEM</t>
  </si>
  <si>
    <t xml:space="preserve">e.g., Splunk, Microsoft Sentinel, Elastic, Datadog Cloud SIEM, Panther</t>
  </si>
  <si>
    <t xml:space="preserve">SSO via IdP; RBAC for analysts</t>
  </si>
  <si>
    <t xml:space="preserve">Self-audit log retained; immutable archive</t>
  </si>
  <si>
    <t xml:space="preserve">All log sources, ONC, ITSM</t>
  </si>
  <si>
    <t xml:space="preserve">Security logs (Confidential)</t>
  </si>
  <si>
    <t xml:space="preserve">Source health, detection rules, alerts, retention config</t>
  </si>
  <si>
    <t xml:space="preserve">MON-01 to MON-03, MON-05</t>
  </si>
  <si>
    <t xml:space="preserve">Monitoring / APM</t>
  </si>
  <si>
    <t xml:space="preserve">e.g., Datadog, Prometheus/Grafana, New Relic, Cloud-native monitoring</t>
  </si>
  <si>
    <t xml:space="preserve">Monitor change audit trail</t>
  </si>
  <si>
    <t xml:space="preserve">CLD, K8S, ONC</t>
  </si>
  <si>
    <t xml:space="preserve">Telemetry (Internal)</t>
  </si>
  <si>
    <t xml:space="preserve">Monitor definitions, uptime history</t>
  </si>
  <si>
    <t xml:space="preserve">ONC</t>
  </si>
  <si>
    <t xml:space="preserve">On-call / Alerting</t>
  </si>
  <si>
    <t xml:space="preserve">e.g., PagerDuty, Opsgenie, incident.io</t>
  </si>
  <si>
    <t xml:space="preserve">Incident timeline export</t>
  </si>
  <si>
    <t xml:space="preserve">SIEM, MON, ITSM, chat</t>
  </si>
  <si>
    <t xml:space="preserve">Incident metadata (Internal)</t>
  </si>
  <si>
    <t xml:space="preserve">Schedules, escalation policies, paging history</t>
  </si>
  <si>
    <t xml:space="preserve">Ticketing / ITSM</t>
  </si>
  <si>
    <t xml:space="preserve">Operations</t>
  </si>
  <si>
    <t xml:space="preserve">e.g., Jira, ServiceNow, Linear</t>
  </si>
  <si>
    <t xml:space="preserve">ServiceNow (ITSM + DevOps Change Velocity)</t>
  </si>
  <si>
    <t xml:space="preserve">SSO via IdP; workflow permissions by role</t>
  </si>
  <si>
    <t xml:space="preserve">Audit log / ticket history export</t>
  </si>
  <si>
    <t xml:space="preserve">SCM, CI, SIEM, ONC, SEC, GRC</t>
  </si>
  <si>
    <t xml:space="preserve">Change, access, incident records (Internal/Confidential)</t>
  </si>
  <si>
    <t xml:space="preserve">Access requests, change &amp; emergency tickets, incident &amp; remediation tickets</t>
  </si>
  <si>
    <t xml:space="preserve">IAM-02, CHG-09, IR-02, VUL-01</t>
  </si>
  <si>
    <t xml:space="preserve">Security Scanning</t>
  </si>
  <si>
    <t xml:space="preserve">e.g., SAST, SCA, secret scanning, container &amp; CSPM scanners</t>
  </si>
  <si>
    <t xml:space="preserve">SSO via IdP; API tokens scoped read-only</t>
  </si>
  <si>
    <t xml:space="preserve">Findings export to SIEM/ITSM</t>
  </si>
  <si>
    <t xml:space="preserve">SCM, CI, REG, CLD, ITSM</t>
  </si>
  <si>
    <t xml:space="preserve">Findings (Confidential)</t>
  </si>
  <si>
    <t xml:space="preserve">Scan results, SLA reports, exception approvals</t>
  </si>
  <si>
    <t xml:space="preserve">CHG-04, INF-02, VUL-01</t>
  </si>
  <si>
    <t xml:space="preserve">Endpoint / MDM</t>
  </si>
  <si>
    <t xml:space="preserve">e.g., Intune, Jamf, Kandji + EDR</t>
  </si>
  <si>
    <t xml:space="preserve">SSO via IdP; device-trust signal to IdP</t>
  </si>
  <si>
    <t xml:space="preserve">Device compliance export; EDR alerts to SIEM</t>
  </si>
  <si>
    <t xml:space="preserve">IDP, SIEM</t>
  </si>
  <si>
    <t xml:space="preserve">Device posture (Internal)</t>
  </si>
  <si>
    <t xml:space="preserve">Compliance report, encryption status, wipe logs</t>
  </si>
  <si>
    <t xml:space="preserve">Secrets Manager</t>
  </si>
  <si>
    <t xml:space="preserve">e.g., HashiCorp Vault, AWS Secrets Manager, Azure Key Vault, GCP Secret Manager</t>
  </si>
  <si>
    <t xml:space="preserve">Workload identity for apps/pipelines; humans via SSO + JIT</t>
  </si>
  <si>
    <t xml:space="preserve">Access audit log to SIEM</t>
  </si>
  <si>
    <t xml:space="preserve">CI, K8S, CLD</t>
  </si>
  <si>
    <t xml:space="preserve">Secrets &amp; keys (Restricted)</t>
  </si>
  <si>
    <t xml:space="preserve">Secret inventory, rotation age, access logs</t>
  </si>
  <si>
    <t xml:space="preserve">INF-06, IAM-07, IAM-09</t>
  </si>
  <si>
    <t xml:space="preserve">Backup Service</t>
  </si>
  <si>
    <t xml:space="preserve">e.g., cloud-native snapshots, AWS Backup, Velero</t>
  </si>
  <si>
    <t xml:space="preserve">Service roles; backup vault in separate account with lock</t>
  </si>
  <si>
    <t xml:space="preserve">Job status to MON/SIEM</t>
  </si>
  <si>
    <t xml:space="preserve">CLD, K8S, MON</t>
  </si>
  <si>
    <t xml:space="preserve">Backup copies of production data (Restricted)</t>
  </si>
  <si>
    <t xml:space="preserve">Backup job reports, restore test results</t>
  </si>
  <si>
    <t xml:space="preserve">BCP-01, BCP-02</t>
  </si>
  <si>
    <t xml:space="preserve">Evidence Store / GRC</t>
  </si>
  <si>
    <t xml:space="preserve">e.g., GRC platform or WORM object storage bucket + index</t>
  </si>
  <si>
    <t xml:space="preserve">SSO via IdP; write via collector identity only</t>
  </si>
  <si>
    <t xml:space="preserve">Access log; object versioning/lock</t>
  </si>
  <si>
    <t xml:space="preserve">All collectors, ITSM</t>
  </si>
  <si>
    <t xml:space="preserve">Audit evidence (Confidential)</t>
  </si>
  <si>
    <t xml:space="preserve">Timestamped, hashed evidence packages per control per period</t>
  </si>
  <si>
    <t xml:space="preserve">All controls (evidence repository)</t>
  </si>
  <si>
    <t xml:space="preserve">Setting</t>
  </si>
  <si>
    <t xml:space="preserve">System</t>
  </si>
  <si>
    <t xml:space="preserve">Level</t>
  </si>
  <si>
    <t xml:space="preserve">Required Value</t>
  </si>
  <si>
    <t xml:space="preserve">How to Verify (API / UI)</t>
  </si>
  <si>
    <t xml:space="preserve">Status</t>
  </si>
  <si>
    <t xml:space="preserve">Verified By / Date</t>
  </si>
  <si>
    <t xml:space="preserve">Identity model</t>
  </si>
  <si>
    <t xml:space="preserve">Enterprise</t>
  </si>
  <si>
    <t xml:space="preserve">EMU, or SAML SSO enforced + SCIM from IdP</t>
  </si>
  <si>
    <t xml:space="preserve">Enterprise settings export; SCIM Users API</t>
  </si>
  <si>
    <t xml:space="preserve">IAM-01, IAM-02</t>
  </si>
  <si>
    <t xml:space="preserve">Enterprise owners</t>
  </si>
  <si>
    <t xml:space="preserve">≤3 named people; quarterly review</t>
  </si>
  <si>
    <t xml:space="preserve">Enterprise people export</t>
  </si>
  <si>
    <t xml:space="preserve">IAM-05, IAM-04</t>
  </si>
  <si>
    <t xml:space="preserve">Classic PATs</t>
  </si>
  <si>
    <t xml:space="preserve">Enterprise/Org</t>
  </si>
  <si>
    <t xml:space="preserve">Blocked</t>
  </si>
  <si>
    <t xml:space="preserve">Org PAT policy screenshot / API</t>
  </si>
  <si>
    <t xml:space="preserve">Fine-grained PATs</t>
  </si>
  <si>
    <t xml:space="preserve">Org</t>
  </si>
  <si>
    <t xml:space="preserve">Approval required; max lifetime ≤90 days</t>
  </si>
  <si>
    <t xml:space="preserve">/orgs/{org}/personal-access-tokens</t>
  </si>
  <si>
    <t xml:space="preserve">GitHub App / OAuth app installs</t>
  </si>
  <si>
    <t xml:space="preserve">Owner approval; OAuth app restrictions on</t>
  </si>
  <si>
    <t xml:space="preserve">/orgs/{org}/installations</t>
  </si>
  <si>
    <t xml:space="preserve">Base repository permission</t>
  </si>
  <si>
    <t xml:space="preserve">No permission (or Read)</t>
  </si>
  <si>
    <t xml:space="preserve">/orgs/{org} default_repository_permission</t>
  </si>
  <si>
    <t xml:space="preserve">Repo creation, visibility change, deletion, transfer</t>
  </si>
  <si>
    <t xml:space="preserve">Owners only</t>
  </si>
  <si>
    <t xml:space="preserve">Org settings export</t>
  </si>
  <si>
    <t xml:space="preserve">IAM-05, INF-11</t>
  </si>
  <si>
    <t xml:space="preserve">Private repository forking</t>
  </si>
  <si>
    <t xml:space="preserve">Disabled</t>
  </si>
  <si>
    <t xml:space="preserve">/orgs/{org} members_can_fork_private_repositories</t>
  </si>
  <si>
    <t xml:space="preserve">Custom property soc2_scope</t>
  </si>
  <si>
    <t xml:space="preserve">Boolean, required, set true on all prod repos</t>
  </si>
  <si>
    <t xml:space="preserve">/orgs/{org}/properties/values</t>
  </si>
  <si>
    <t xml:space="preserve">Default-branch ruleset</t>
  </si>
  <si>
    <t xml:space="preserve">Per DES-002 §3.3; enforcement active; bypass list empty</t>
  </si>
  <si>
    <t xml:space="preserve">/orgs/{org}/rulesets/{id}</t>
  </si>
  <si>
    <t xml:space="preserve">CHG-01, CHG-02, CHG-03, CHG-04</t>
  </si>
  <si>
    <t xml:space="preserve">Release tag ruleset</t>
  </si>
  <si>
    <t xml:space="preserve">Block deletion/update of refs/tags/v*</t>
  </si>
  <si>
    <t xml:space="preserve">CODEOWNERS on .github/, infra/, deploy/</t>
  </si>
  <si>
    <t xml:space="preserve">Repo</t>
  </si>
  <si>
    <t xml:space="preserve">Platform + Security owners</t>
  </si>
  <si>
    <t xml:space="preserve">File in each soc2_scope repo</t>
  </si>
  <si>
    <t xml:space="preserve">Security configuration</t>
  </si>
  <si>
    <t xml:space="preserve">Secret scanning, push protection (delegated bypass), CodeQL, Dependabot alerts+updates; enforced on soc2_scope</t>
  </si>
  <si>
    <t xml:space="preserve">Org security configuration export</t>
  </si>
  <si>
    <t xml:space="preserve">Audit log streaming</t>
  </si>
  <si>
    <t xml:space="preserve">Enabled to SIEM, incl. Git + API request events</t>
  </si>
  <si>
    <t xml:space="preserve">Enterprise audit log settings; SIEM source health</t>
  </si>
  <si>
    <t xml:space="preserve">Allowed actions</t>
  </si>
  <si>
    <t xml:space="preserve">GitHub-owned + verified + allowlist</t>
  </si>
  <si>
    <t xml:space="preserve">/orgs/{org}/actions/permissions/selected-actions</t>
  </si>
  <si>
    <t xml:space="preserve">SHA pinning policy</t>
  </si>
  <si>
    <t xml:space="preserve">Require full-length commit SHA</t>
  </si>
  <si>
    <t xml:space="preserve">Actions policy export</t>
  </si>
  <si>
    <t xml:space="preserve">Default GITHUB_TOKEN permissions</t>
  </si>
  <si>
    <t xml:space="preserve">Read-only</t>
  </si>
  <si>
    <t xml:space="preserve">/orgs/{org}/actions/permissions/workflow</t>
  </si>
  <si>
    <t xml:space="preserve">Actions can create/approve PRs</t>
  </si>
  <si>
    <t xml:space="preserve">/orgs/{org}/actions/permissions/workflow (can_approve_pull_request_reviews=false)</t>
  </si>
  <si>
    <t xml:space="preserve">Fork PR workflows</t>
  </si>
  <si>
    <t xml:space="preserve">Approval required; no secrets/write tokens to forks</t>
  </si>
  <si>
    <t xml:space="preserve">Actions settings export</t>
  </si>
  <si>
    <t xml:space="preserve">Runners</t>
  </si>
  <si>
    <t xml:space="preserve">GitHub-hosted or ephemeral self-hosted in restricted runner groups</t>
  </si>
  <si>
    <t xml:space="preserve">/orgs/{org}/actions/runner-groups</t>
  </si>
  <si>
    <t xml:space="preserve">OIDC immutable subject claims</t>
  </si>
  <si>
    <t xml:space="preserve">Opted in; trust policies updated to new sub format</t>
  </si>
  <si>
    <t xml:space="preserve">OIDC customization API / settings</t>
  </si>
  <si>
    <t xml:space="preserve">CHG-05, IAM-07</t>
  </si>
  <si>
    <t xml:space="preserve">production environment</t>
  </si>
  <si>
    <t xml:space="preserve">main only; ServiceNow protection rule; prevent self-review; admin bypass disabled</t>
  </si>
  <si>
    <t xml:space="preserve">/repos/{o}/{r}/environments/production</t>
  </si>
  <si>
    <t xml:space="preserve">CHG-05, CHG-06</t>
  </si>
  <si>
    <t xml:space="preserve">Cloud deploy role trust</t>
  </si>
  <si>
    <t xml:space="preserve">Account</t>
  </si>
  <si>
    <t xml:space="preserve">sub = repo:&lt;org&gt;@&lt;id&gt;/&lt;repo&gt;@&lt;id&gt;:environment:production; ≤1h sessions</t>
  </si>
  <si>
    <t xml:space="preserve">IAM role trust policy export</t>
  </si>
  <si>
    <t xml:space="preserve">SSO</t>
  </si>
  <si>
    <t xml:space="preserve">Instance</t>
  </si>
  <si>
    <t xml:space="preserve">SAML via IdP; MFA at IdP</t>
  </si>
  <si>
    <t xml:space="preserve">Multi-Provider SSO config export</t>
  </si>
  <si>
    <t xml:space="preserve">Local logins</t>
  </si>
  <si>
    <t xml:space="preserve">Disabled except vaulted break-glass admin</t>
  </si>
  <si>
    <t xml:space="preserve">SSO properties; break-glass inventory</t>
  </si>
  <si>
    <t xml:space="preserve">Role assignment</t>
  </si>
  <si>
    <t xml:space="preserve">Roles via groups only; admin ≤N</t>
  </si>
  <si>
    <t xml:space="preserve">sys_user_has_role export</t>
  </si>
  <si>
    <t xml:space="preserve">Integration users</t>
  </si>
  <si>
    <t xml:space="preserve">Web service access only; least privilege; owner recorded</t>
  </si>
  <si>
    <t xml:space="preserve">sys_user (web_service_access_only=true)</t>
  </si>
  <si>
    <t xml:space="preserve">DevOps tool + App mapping</t>
  </si>
  <si>
    <t xml:space="preserve">DevOps Change Velocity</t>
  </si>
  <si>
    <t xml:space="preserve">GitHub tool registered; each pipeline mapped to App; prod step change-controlled</t>
  </si>
  <si>
    <t xml:space="preserve">DevOps tool/app/step records</t>
  </si>
  <si>
    <t xml:space="preserve">Change models</t>
  </si>
  <si>
    <t xml:space="preserve">DevOps Standard (auto-approve policy), Normal (CAB), Emergency (retro-approval ≤2 BD)</t>
  </si>
  <si>
    <t xml:space="preserve">Change model + approval policy records</t>
  </si>
  <si>
    <t xml:space="preserve">Requester cannot approve</t>
  </si>
  <si>
    <t xml:space="preserve">Approval rules exclude requester / PR author</t>
  </si>
  <si>
    <t xml:space="preserve">Approval rule definition; recon query</t>
  </si>
  <si>
    <t xml:space="preserve">CHG-02, CHG-06</t>
  </si>
  <si>
    <t xml:space="preserve">Field auditing</t>
  </si>
  <si>
    <t xml:space="preserve">Audit on change_request, sysapproval_approver, sc_req_item, sys_user_has_role, sys_user_grmember</t>
  </si>
  <si>
    <t xml:space="preserve">Dictionary audit settings</t>
  </si>
  <si>
    <t xml:space="preserve">Log export to SIEM</t>
  </si>
  <si>
    <t xml:space="preserve">Login, sys_audit and admin events to SIEM</t>
  </si>
  <si>
    <t xml:space="preserve">SIEM source health</t>
  </si>
  <si>
    <t xml:space="preserve">Vulnerability SLAs</t>
  </si>
  <si>
    <t xml:space="preserve">ITSM / VR</t>
  </si>
  <si>
    <t xml:space="preserve">Critical 7d, High 30d, Medium 90d SLA definitions</t>
  </si>
  <si>
    <t xml:space="preserve">SLA definition records</t>
  </si>
  <si>
    <t xml:space="preserve">Access request catalog item</t>
  </si>
  <si>
    <t xml:space="preserve">Service Catalog</t>
  </si>
  <si>
    <t xml:space="preserve">Manager + system-owner approval; fulfils IdP group</t>
  </si>
  <si>
    <t xml:space="preserve">Catalog item + workflow</t>
  </si>
  <si>
    <t xml:space="preserve">Configured</t>
  </si>
  <si>
    <t xml:space="preserve">Detail: DES-002 GitHub, GitHub Actions &amp; ServiceNow Integration Specification</t>
  </si>
  <si>
    <t xml:space="preserve">Collector Job</t>
  </si>
  <si>
    <t xml:space="preserve">Source Subsystem(s)</t>
  </si>
  <si>
    <t xml:space="preserve">Collection Method</t>
  </si>
  <si>
    <t xml:space="preserve">Output Artifact (evidence store path)</t>
  </si>
  <si>
    <t xml:space="preserve">Controls Supported</t>
  </si>
  <si>
    <t xml:space="preserve">Implemented? (Y/N)</t>
  </si>
  <si>
    <t xml:space="preserve">Last Successful Run</t>
  </si>
  <si>
    <t xml:space="preserve">col-idp-policy</t>
  </si>
  <si>
    <t xml:space="preserve">REST API: auth policies, MFA factors, app SSO assignments</t>
  </si>
  <si>
    <t xml:space="preserve">Nightly</t>
  </si>
  <si>
    <t xml:space="preserve">idp/policies/&lt;date&gt;.json + diff</t>
  </si>
  <si>
    <t xml:space="preserve">IAM-01, IAM-08</t>
  </si>
  <si>
    <t xml:space="preserve">Y</t>
  </si>
  <si>
    <t xml:space="preserve">col-idp-users</t>
  </si>
  <si>
    <t xml:space="preserve">IDP, HRIS</t>
  </si>
  <si>
    <t xml:space="preserve">API: users, status, lastLogin, deactivated_at; HRIS terminations</t>
  </si>
  <si>
    <t xml:space="preserve">iam/leaver-recon/&lt;date&gt;.csv; ticket if SLA breached</t>
  </si>
  <si>
    <t xml:space="preserve">IAM-02, IAM-03</t>
  </si>
  <si>
    <t xml:space="preserve">col-access-review</t>
  </si>
  <si>
    <t xml:space="preserve">API user &amp; role listings per system; row counts for completeness</t>
  </si>
  <si>
    <t xml:space="preserve">Quarterly (1st business day)</t>
  </si>
  <si>
    <t xml:space="preserve">access-review/&lt;Qn&gt;/&lt;system&gt;.csv</t>
  </si>
  <si>
    <t xml:space="preserve">col-scm-rulesets</t>
  </si>
  <si>
    <t xml:space="preserve">gh api /orgs/{org}/rulesets (+ /rulesets/{id}); /repos/{o}/{r}/rules/branches/main for soc2_scope repos; diff vs. baseline</t>
  </si>
  <si>
    <t xml:space="preserve">scm/rulesets/&lt;date&gt;.json + drift alert</t>
  </si>
  <si>
    <t xml:space="preserve">CHG-01, CHG-02</t>
  </si>
  <si>
    <t xml:space="preserve">col-scm-prs</t>
  </si>
  <si>
    <t xml:space="preserve">GraphQL search is:pr is:merged base:main merged:&lt;range&gt; → author, mergedBy, APPROVED reviewers, mergeCommit, check runs</t>
  </si>
  <si>
    <t xml:space="preserve">scm/merged-prs/&lt;yyyy-mm&gt;.jsonl</t>
  </si>
  <si>
    <t xml:space="preserve">CHG-02, CHG-03</t>
  </si>
  <si>
    <t xml:space="preserve">col-deploys</t>
  </si>
  <si>
    <t xml:space="preserve">GitHub, ServiceNow</t>
  </si>
  <si>
    <t xml:space="preserve">/repos/{o}/{r}/deployments?environment=production + statuses; join ServiceNow change number; attestation reference</t>
  </si>
  <si>
    <t xml:space="preserve">Per deploy / daily</t>
  </si>
  <si>
    <t xml:space="preserve">deployments/&lt;yyyy-mm&gt;.jsonl</t>
  </si>
  <si>
    <t xml:space="preserve">CHG-05, CHG-06, CHG-07</t>
  </si>
  <si>
    <t xml:space="preserve">col-cloud-iam</t>
  </si>
  <si>
    <t xml:space="preserve">API: roles, policies, users, access keys &amp; ages; org SCP/policies</t>
  </si>
  <si>
    <t xml:space="preserve">cloud/iam/&lt;date&gt;.json</t>
  </si>
  <si>
    <t xml:space="preserve">IAM-05, IAM-07, CHG-05</t>
  </si>
  <si>
    <t xml:space="preserve">col-cloud-audit-query</t>
  </si>
  <si>
    <t xml:space="preserve">CLD, SIEM</t>
  </si>
  <si>
    <t xml:space="preserve">Saved search: production write API calls by non-pipeline principals</t>
  </si>
  <si>
    <t xml:space="preserve">cloud/non-pipeline-changes/&lt;yyyy-mm&gt;.csv</t>
  </si>
  <si>
    <t xml:space="preserve">CHG-05, MON-01</t>
  </si>
  <si>
    <t xml:space="preserve">col-cspm</t>
  </si>
  <si>
    <t xml:space="preserve">SEC, CLD</t>
  </si>
  <si>
    <t xml:space="preserve">CSPM API: benchmark score, open findings by severity, age</t>
  </si>
  <si>
    <t xml:space="preserve">cspm/&lt;date&gt;.json</t>
  </si>
  <si>
    <t xml:space="preserve">INF-01, INF-02, INF-05, INF-11</t>
  </si>
  <si>
    <t xml:space="preserve">col-vulns</t>
  </si>
  <si>
    <t xml:space="preserve">Scanner API + ITSM JQL: findings, SLA status</t>
  </si>
  <si>
    <t xml:space="preserve">vuln/sla/&lt;date&gt;.csv</t>
  </si>
  <si>
    <t xml:space="preserve">VUL-01, CHG-04</t>
  </si>
  <si>
    <t xml:space="preserve">col-siem-health</t>
  </si>
  <si>
    <t xml:space="preserve">Query: last event per log source; retention settings</t>
  </si>
  <si>
    <t xml:space="preserve">siem/source-health/&lt;date&gt;.csv</t>
  </si>
  <si>
    <t xml:space="preserve">col-mdm</t>
  </si>
  <si>
    <t xml:space="preserve">API: device list, encryption, OS version, compliance</t>
  </si>
  <si>
    <t xml:space="preserve">mdm/compliance/&lt;date&gt;.csv</t>
  </si>
  <si>
    <t xml:space="preserve">col-backups</t>
  </si>
  <si>
    <t xml:space="preserve">API: backup job status, vault lock config</t>
  </si>
  <si>
    <t xml:space="preserve">backup/jobs/&lt;date&gt;.csv</t>
  </si>
  <si>
    <t xml:space="preserve">col-hr-training</t>
  </si>
  <si>
    <t xml:space="preserve">HRIS / LMS</t>
  </si>
  <si>
    <t xml:space="preserve">Report API: training &amp; policy acknowledgment completion</t>
  </si>
  <si>
    <t xml:space="preserve">hr/training/&lt;yyyy-mm&gt;.csv</t>
  </si>
  <si>
    <t xml:space="preserve">col-inventory</t>
  </si>
  <si>
    <t xml:space="preserve">CLD, MDM, SCM, IDP</t>
  </si>
  <si>
    <t xml:space="preserve">Asset inventory export (resources, devices, repos, SaaS apps)</t>
  </si>
  <si>
    <t xml:space="preserve">inventory/&lt;date&gt;/*.csv</t>
  </si>
  <si>
    <t xml:space="preserve">INF-07, GOV-08</t>
  </si>
  <si>
    <t xml:space="preserve">col-gh-environments</t>
  </si>
  <si>
    <t xml:space="preserve">/repos/{o}/{r}/environments/production + /deployment_protection_rules; /orgs/{org}/actions/permissions(+/workflow, /selected-actions)</t>
  </si>
  <si>
    <t xml:space="preserve">gh/environments/&lt;date&gt;.json + drift alert</t>
  </si>
  <si>
    <t xml:space="preserve">CHG-05, CHG-11</t>
  </si>
  <si>
    <t xml:space="preserve">col-gh-sn-recon</t>
  </si>
  <si>
    <t xml:space="preserve">Match GitHub production deployments to ServiceNow change_request (DevOps) by run ID / change number; list unmatched both ways</t>
  </si>
  <si>
    <t xml:space="preserve">Monthly + quarterly sign-off</t>
  </si>
  <si>
    <t xml:space="preserve">recon/deploy-change/&lt;yyyy-mm&gt;.csv</t>
  </si>
  <si>
    <t xml:space="preserve">CHG-06, CHG-05</t>
  </si>
  <si>
    <t xml:space="preserve">col-sn-changes</t>
  </si>
  <si>
    <t xml:space="preserve">Table API change_request + sysapproval_approver for period (type, state, approval, requested_by, approver, close_code)</t>
  </si>
  <si>
    <t xml:space="preserve">servicenow/changes/&lt;yyyy-mm&gt;.jsonl</t>
  </si>
  <si>
    <t xml:space="preserve">col-sn-access</t>
  </si>
  <si>
    <t xml:space="preserve">Table API sc_req_item (access catalog item) + approvals; sys_user_has_role for privileged roles</t>
  </si>
  <si>
    <t xml:space="preserve">Daily / quarterly</t>
  </si>
  <si>
    <t xml:space="preserve">servicenow/access/&lt;date&gt;.csv</t>
  </si>
  <si>
    <t xml:space="preserve">IAM-02, IAM-04</t>
  </si>
  <si>
    <t xml:space="preserve">col-gh-access</t>
  </si>
  <si>
    <t xml:space="preserve">/orgs/{org}/members(?role=admin), teams, outside_collaborators, personal-access-tokens, installations</t>
  </si>
  <si>
    <t xml:space="preserve">Quarterly + weekly</t>
  </si>
  <si>
    <t xml:space="preserve">gh/access/&lt;date&gt;/*.csv</t>
  </si>
  <si>
    <t xml:space="preserve">IAM-04, IAM-07</t>
  </si>
  <si>
    <t xml:space="preserve">col-gh-alerts</t>
  </si>
  <si>
    <t xml:space="preserve">/orgs/{org}/code-scanning|secret-scanning|dependabot/alerts; join ServiceNow ticket + SLA state</t>
  </si>
  <si>
    <t xml:space="preserve">vuln/github/&lt;date&gt;.csv</t>
  </si>
  <si>
    <t xml:space="preserve">CHG-04, VUL-01, INF-06</t>
  </si>
  <si>
    <t xml:space="preserve">Request ID</t>
  </si>
  <si>
    <t xml:space="preserve">Evidence Requested</t>
  </si>
  <si>
    <t xml:space="preserve">Period Coverage</t>
  </si>
  <si>
    <t xml:space="preserve">Source System</t>
  </si>
  <si>
    <t xml:space="preserve">Collector / Method</t>
  </si>
  <si>
    <t xml:space="preserve">Due Date</t>
  </si>
  <si>
    <t xml:space="preserve">Evidence Link</t>
  </si>
  <si>
    <t xml:space="preserve">Auditor Comments</t>
  </si>
  <si>
    <t xml:space="preserve">PBC-001</t>
  </si>
  <si>
    <t xml:space="preserve">Policy set with version history and approval record</t>
  </si>
  <si>
    <t xml:space="preserve">Each occurrence in period</t>
  </si>
  <si>
    <t xml:space="preserve">Manual upload</t>
  </si>
  <si>
    <t xml:space="preserve">Not started</t>
  </si>
  <si>
    <t xml:space="preserve">PBC-002</t>
  </si>
  <si>
    <t xml:space="preserve">publication location screenshot</t>
  </si>
  <si>
    <t xml:space="preserve">PBC-003</t>
  </si>
  <si>
    <t xml:space="preserve">PBC-004</t>
  </si>
  <si>
    <t xml:space="preserve">Org chart export</t>
  </si>
  <si>
    <t xml:space="preserve">PBC-005</t>
  </si>
  <si>
    <t xml:space="preserve">RACI document with review date</t>
  </si>
  <si>
    <t xml:space="preserve">PBC-006</t>
  </si>
  <si>
    <t xml:space="preserve">PBC-007</t>
  </si>
  <si>
    <t xml:space="preserve">Quarterly attestations</t>
  </si>
  <si>
    <t xml:space="preserve">PBC-008</t>
  </si>
  <si>
    <t xml:space="preserve">internal assessment report</t>
  </si>
  <si>
    <t xml:space="preserve">PBC-009</t>
  </si>
  <si>
    <t xml:space="preserve">deficiency tickets</t>
  </si>
  <si>
    <t xml:space="preserve">PBC-010</t>
  </si>
  <si>
    <t xml:space="preserve">MSA/DPA templates</t>
  </si>
  <si>
    <t xml:space="preserve">PBC-011</t>
  </si>
  <si>
    <t xml:space="preserve">status page history</t>
  </si>
  <si>
    <t xml:space="preserve">PBC-012</t>
  </si>
  <si>
    <t xml:space="preserve">customer notices</t>
  </si>
  <si>
    <t xml:space="preserve">PBC-013</t>
  </si>
  <si>
    <t xml:space="preserve">Channel description in handbook</t>
  </si>
  <si>
    <t xml:space="preserve">PBC-014</t>
  </si>
  <si>
    <t xml:space="preserve">report log (redacted)</t>
  </si>
  <si>
    <t xml:space="preserve">PBC-015</t>
  </si>
  <si>
    <t xml:space="preserve">Dated system description</t>
  </si>
  <si>
    <t xml:space="preserve">PBC-016</t>
  </si>
  <si>
    <t xml:space="preserve">architecture diagrams</t>
  </si>
  <si>
    <t xml:space="preserve">PBC-017</t>
  </si>
  <si>
    <t xml:space="preserve">integration inventory</t>
  </si>
  <si>
    <t xml:space="preserve">PBC-018</t>
  </si>
  <si>
    <t xml:space="preserve">Population + samples</t>
  </si>
  <si>
    <t xml:space="preserve">PBC-019</t>
  </si>
  <si>
    <t xml:space="preserve">PBC-020</t>
  </si>
  <si>
    <t xml:space="preserve">Training completion report</t>
  </si>
  <si>
    <t xml:space="preserve">PBC-021</t>
  </si>
  <si>
    <t xml:space="preserve">training content</t>
  </si>
  <si>
    <t xml:space="preserve">PBC-022</t>
  </si>
  <si>
    <t xml:space="preserve">Job descriptions</t>
  </si>
  <si>
    <t xml:space="preserve">PBC-023</t>
  </si>
  <si>
    <t xml:space="preserve">completed performance review evidence (sampled)</t>
  </si>
  <si>
    <t xml:space="preserve">PBC-024</t>
  </si>
  <si>
    <t xml:space="preserve">Handbook sanctions section</t>
  </si>
  <si>
    <t xml:space="preserve">PBC-025</t>
  </si>
  <si>
    <t xml:space="preserve">case log if any</t>
  </si>
  <si>
    <t xml:space="preserve">PBC-026</t>
  </si>
  <si>
    <t xml:space="preserve">Risk assessment report</t>
  </si>
  <si>
    <t xml:space="preserve">PBC-027</t>
  </si>
  <si>
    <t xml:space="preserve">risk register with scores and treatment</t>
  </si>
  <si>
    <t xml:space="preserve">PBC-028</t>
  </si>
  <si>
    <t xml:space="preserve">PBC-029</t>
  </si>
  <si>
    <t xml:space="preserve">PBC-030</t>
  </si>
  <si>
    <t xml:space="preserve">PBC-031</t>
  </si>
  <si>
    <t xml:space="preserve">PBC-032</t>
  </si>
  <si>
    <t xml:space="preserve">PBC-033</t>
  </si>
  <si>
    <t xml:space="preserve">PBC-034</t>
  </si>
  <si>
    <t xml:space="preserve">IdP authentication policy config</t>
  </si>
  <si>
    <t xml:space="preserve">Point in time + period</t>
  </si>
  <si>
    <t xml:space="preserve">PBC-035</t>
  </si>
  <si>
    <t xml:space="preserve">per-app SSO enforcement settings</t>
  </si>
  <si>
    <t xml:space="preserve">PBC-036</t>
  </si>
  <si>
    <t xml:space="preserve">list of local accounts</t>
  </si>
  <si>
    <t xml:space="preserve">PBC-037</t>
  </si>
  <si>
    <t xml:space="preserve">Joiner events</t>
  </si>
  <si>
    <t xml:space="preserve">col-idp-users, col-sn-access</t>
  </si>
  <si>
    <t xml:space="preserve">PBC-038</t>
  </si>
  <si>
    <t xml:space="preserve">access request tickets with approval for sampled hires</t>
  </si>
  <si>
    <t xml:space="preserve">PBC-039</t>
  </si>
  <si>
    <t xml:space="preserve">PBC-040</t>
  </si>
  <si>
    <t xml:space="preserve">Access review workbooks with reviewer sign-off</t>
  </si>
  <si>
    <t xml:space="preserve">col-access-review, col-sn-access, col-gh-access</t>
  </si>
  <si>
    <t xml:space="preserve">PBC-041</t>
  </si>
  <si>
    <t xml:space="preserve">removal tickets</t>
  </si>
  <si>
    <t xml:space="preserve">PBC-042</t>
  </si>
  <si>
    <t xml:space="preserve">Role definitions</t>
  </si>
  <si>
    <t xml:space="preserve">PBC-043</t>
  </si>
  <si>
    <t xml:space="preserve">IAM policy exports</t>
  </si>
  <si>
    <t xml:space="preserve">PBC-044</t>
  </si>
  <si>
    <t xml:space="preserve">group membership</t>
  </si>
  <si>
    <t xml:space="preserve">PBC-045</t>
  </si>
  <si>
    <t xml:space="preserve">PBC-046</t>
  </si>
  <si>
    <t xml:space="preserve">Service account inventory</t>
  </si>
  <si>
    <t xml:space="preserve">col-cloud-iam, col-gh-access</t>
  </si>
  <si>
    <t xml:space="preserve">PBC-047</t>
  </si>
  <si>
    <t xml:space="preserve">key age report</t>
  </si>
  <si>
    <t xml:space="preserve">PBC-048</t>
  </si>
  <si>
    <t xml:space="preserve">OIDC trust config</t>
  </si>
  <si>
    <t xml:space="preserve">PBC-049</t>
  </si>
  <si>
    <t xml:space="preserve">PBC-050</t>
  </si>
  <si>
    <t xml:space="preserve">Break-glass inventory</t>
  </si>
  <si>
    <t xml:space="preserve">PBC-051</t>
  </si>
  <si>
    <t xml:space="preserve">alert rule</t>
  </si>
  <si>
    <t xml:space="preserve">PBC-052</t>
  </si>
  <si>
    <t xml:space="preserve">usage review tickets</t>
  </si>
  <si>
    <t xml:space="preserve">PBC-053</t>
  </si>
  <si>
    <t xml:space="preserve">PBC-054</t>
  </si>
  <si>
    <t xml:space="preserve">col-scm-rulesets, col-scm-prs</t>
  </si>
  <si>
    <t xml:space="preserve">PBC-055</t>
  </si>
  <si>
    <t xml:space="preserve">Required status checks config</t>
  </si>
  <si>
    <t xml:space="preserve">PBC-056</t>
  </si>
  <si>
    <t xml:space="preserve">CI run logs for sampled PRs</t>
  </si>
  <si>
    <t xml:space="preserve">PBC-057</t>
  </si>
  <si>
    <t xml:space="preserve">Scanner config</t>
  </si>
  <si>
    <t xml:space="preserve">col-vulns, col-gh-alerts</t>
  </si>
  <si>
    <t xml:space="preserve">PBC-058</t>
  </si>
  <si>
    <t xml:space="preserve">pipeline gate policy</t>
  </si>
  <si>
    <t xml:space="preserve">PBC-059</t>
  </si>
  <si>
    <t xml:space="preserve">findings and exception tickets</t>
  </si>
  <si>
    <t xml:space="preserve">PBC-060</t>
  </si>
  <si>
    <t xml:space="preserve">Deploy role trust policy</t>
  </si>
  <si>
    <t xml:space="preserve">col-deploys, col-cloud-iam, col-cloud-audit-query, col-gh-environments, col-gh-sn-recon</t>
  </si>
  <si>
    <t xml:space="preserve">PBC-061</t>
  </si>
  <si>
    <t xml:space="preserve">IAM exports</t>
  </si>
  <si>
    <t xml:space="preserve">PBC-062</t>
  </si>
  <si>
    <t xml:space="preserve">cloud audit logs showing deploys by pipeline identity</t>
  </si>
  <si>
    <t xml:space="preserve">PBC-063</t>
  </si>
  <si>
    <t xml:space="preserve">col-deploys, col-gh-sn-recon, col-sn-changes</t>
  </si>
  <si>
    <t xml:space="preserve">PBC-064</t>
  </si>
  <si>
    <t xml:space="preserve">Signing config</t>
  </si>
  <si>
    <t xml:space="preserve">PBC-065</t>
  </si>
  <si>
    <t xml:space="preserve">admission policy</t>
  </si>
  <si>
    <t xml:space="preserve">PBC-066</t>
  </si>
  <si>
    <t xml:space="preserve">sample verification output</t>
  </si>
  <si>
    <t xml:space="preserve">PBC-067</t>
  </si>
  <si>
    <t xml:space="preserve">Account/project structure diagram</t>
  </si>
  <si>
    <t xml:space="preserve">PBC-068</t>
  </si>
  <si>
    <t xml:space="preserve">network config</t>
  </si>
  <si>
    <t xml:space="preserve">PBC-069</t>
  </si>
  <si>
    <t xml:space="preserve">IAM boundaries</t>
  </si>
  <si>
    <t xml:space="preserve">PBC-070</t>
  </si>
  <si>
    <t xml:space="preserve">PBC-071</t>
  </si>
  <si>
    <t xml:space="preserve">IaC PRs with plan output and approval</t>
  </si>
  <si>
    <t xml:space="preserve">PBC-072</t>
  </si>
  <si>
    <t xml:space="preserve">apply logs</t>
  </si>
  <si>
    <t xml:space="preserve">PBC-073</t>
  </si>
  <si>
    <t xml:space="preserve">CODEOWNERS for pipeline paths</t>
  </si>
  <si>
    <t xml:space="preserve">PBC-074</t>
  </si>
  <si>
    <t xml:space="preserve">pinning policy check</t>
  </si>
  <si>
    <t xml:space="preserve">PBC-075</t>
  </si>
  <si>
    <t xml:space="preserve">runner config</t>
  </si>
  <si>
    <t xml:space="preserve">PBC-076</t>
  </si>
  <si>
    <t xml:space="preserve">PBC-077</t>
  </si>
  <si>
    <t xml:space="preserve">Baseline definitions</t>
  </si>
  <si>
    <t xml:space="preserve">PBC-078</t>
  </si>
  <si>
    <t xml:space="preserve">image build pipeline</t>
  </si>
  <si>
    <t xml:space="preserve">PBC-079</t>
  </si>
  <si>
    <t xml:space="preserve">benchmark scan results</t>
  </si>
  <si>
    <t xml:space="preserve">PBC-080</t>
  </si>
  <si>
    <t xml:space="preserve">CSPM policy set</t>
  </si>
  <si>
    <t xml:space="preserve">PBC-081</t>
  </si>
  <si>
    <t xml:space="preserve">findings trend</t>
  </si>
  <si>
    <t xml:space="preserve">PBC-082</t>
  </si>
  <si>
    <t xml:space="preserve">remediation tickets</t>
  </si>
  <si>
    <t xml:space="preserve">PBC-083</t>
  </si>
  <si>
    <t xml:space="preserve">Firewall/security-group rules</t>
  </si>
  <si>
    <t xml:space="preserve">PBC-084</t>
  </si>
  <si>
    <t xml:space="preserve">WAF config</t>
  </si>
  <si>
    <t xml:space="preserve">PBC-085</t>
  </si>
  <si>
    <t xml:space="preserve">admin access path config</t>
  </si>
  <si>
    <t xml:space="preserve">PBC-086</t>
  </si>
  <si>
    <t xml:space="preserve">Load balancer TLS policy</t>
  </si>
  <si>
    <t xml:space="preserve">PBC-087</t>
  </si>
  <si>
    <t xml:space="preserve">TLS scan results</t>
  </si>
  <si>
    <t xml:space="preserve">PBC-088</t>
  </si>
  <si>
    <t xml:space="preserve">Encryption settings export</t>
  </si>
  <si>
    <t xml:space="preserve">PBC-089</t>
  </si>
  <si>
    <t xml:space="preserve">KMS key policies</t>
  </si>
  <si>
    <t xml:space="preserve">PBC-090</t>
  </si>
  <si>
    <t xml:space="preserve">Secrets manager config</t>
  </si>
  <si>
    <t xml:space="preserve">PBC-091</t>
  </si>
  <si>
    <t xml:space="preserve">push-protection setting</t>
  </si>
  <si>
    <t xml:space="preserve">PBC-092</t>
  </si>
  <si>
    <t xml:space="preserve">scanning alerts</t>
  </si>
  <si>
    <t xml:space="preserve">PBC-093</t>
  </si>
  <si>
    <t xml:space="preserve">Inventory exports</t>
  </si>
  <si>
    <t xml:space="preserve">PBC-094</t>
  </si>
  <si>
    <t xml:space="preserve">quarterly review record</t>
  </si>
  <si>
    <t xml:space="preserve">PBC-095</t>
  </si>
  <si>
    <t xml:space="preserve">MDM compliance report</t>
  </si>
  <si>
    <t xml:space="preserve">PBC-096</t>
  </si>
  <si>
    <t xml:space="preserve">device-trust policy in IdP</t>
  </si>
  <si>
    <t xml:space="preserve">PBC-097</t>
  </si>
  <si>
    <t xml:space="preserve">Deletion tickets/logs</t>
  </si>
  <si>
    <t xml:space="preserve">PBC-098</t>
  </si>
  <si>
    <t xml:space="preserve">device wipe records</t>
  </si>
  <si>
    <t xml:space="preserve">PBC-099</t>
  </si>
  <si>
    <t xml:space="preserve">cloud provider SOC 2 review</t>
  </si>
  <si>
    <t xml:space="preserve">PBC-100</t>
  </si>
  <si>
    <t xml:space="preserve">Cloud provider SOC 2 review memo</t>
  </si>
  <si>
    <t xml:space="preserve">PBC-101</t>
  </si>
  <si>
    <t xml:space="preserve">office access procedure</t>
  </si>
  <si>
    <t xml:space="preserve">PBC-102</t>
  </si>
  <si>
    <t xml:space="preserve">Public access block config</t>
  </si>
  <si>
    <t xml:space="preserve">PBC-103</t>
  </si>
  <si>
    <t xml:space="preserve">egress rules</t>
  </si>
  <si>
    <t xml:space="preserve">PBC-104</t>
  </si>
  <si>
    <t xml:space="preserve">DLP policy</t>
  </si>
  <si>
    <t xml:space="preserve">PBC-105</t>
  </si>
  <si>
    <t xml:space="preserve">Scan reports</t>
  </si>
  <si>
    <t xml:space="preserve">PBC-106</t>
  </si>
  <si>
    <t xml:space="preserve">SLA compliance report</t>
  </si>
  <si>
    <t xml:space="preserve">PBC-107</t>
  </si>
  <si>
    <t xml:space="preserve">PBC-108</t>
  </si>
  <si>
    <t xml:space="preserve">Pen test report</t>
  </si>
  <si>
    <t xml:space="preserve">PBC-109</t>
  </si>
  <si>
    <t xml:space="preserve">remediation tickets / retest letter</t>
  </si>
  <si>
    <t xml:space="preserve">PBC-110</t>
  </si>
  <si>
    <t xml:space="preserve">Base image rebuild logs</t>
  </si>
  <si>
    <t xml:space="preserve">PBC-111</t>
  </si>
  <si>
    <t xml:space="preserve">image age report</t>
  </si>
  <si>
    <t xml:space="preserve">PBC-112</t>
  </si>
  <si>
    <t xml:space="preserve">Log source inventory with last-seen timestamps</t>
  </si>
  <si>
    <t xml:space="preserve">col-cloud-audit-query, col-siem-health</t>
  </si>
  <si>
    <t xml:space="preserve">PBC-113</t>
  </si>
  <si>
    <t xml:space="preserve">forwarding configs</t>
  </si>
  <si>
    <t xml:space="preserve">PBC-114</t>
  </si>
  <si>
    <t xml:space="preserve">PBC-115</t>
  </si>
  <si>
    <t xml:space="preserve">Detection rule catalog</t>
  </si>
  <si>
    <t xml:space="preserve">PBC-116</t>
  </si>
  <si>
    <t xml:space="preserve">sample alerts and triage tickets</t>
  </si>
  <si>
    <t xml:space="preserve">PBC-117</t>
  </si>
  <si>
    <t xml:space="preserve">Monitor/alert definitions</t>
  </si>
  <si>
    <t xml:space="preserve">PBC-118</t>
  </si>
  <si>
    <t xml:space="preserve">on-call schedule</t>
  </si>
  <si>
    <t xml:space="preserve">PBC-119</t>
  </si>
  <si>
    <t xml:space="preserve">paging history</t>
  </si>
  <si>
    <t xml:space="preserve">PBC-120</t>
  </si>
  <si>
    <t xml:space="preserve">Alert-to-ticket linkage</t>
  </si>
  <si>
    <t xml:space="preserve">PBC-121</t>
  </si>
  <si>
    <t xml:space="preserve">triage timestamps for sampled alerts</t>
  </si>
  <si>
    <t xml:space="preserve">PBC-122</t>
  </si>
  <si>
    <t xml:space="preserve">Control check results history</t>
  </si>
  <si>
    <t xml:space="preserve">PBC-123</t>
  </si>
  <si>
    <t xml:space="preserve">failure tickets</t>
  </si>
  <si>
    <t xml:space="preserve">PBC-124</t>
  </si>
  <si>
    <t xml:space="preserve">PBC-125</t>
  </si>
  <si>
    <t xml:space="preserve">PBC-126</t>
  </si>
  <si>
    <t xml:space="preserve">Post-incident reports</t>
  </si>
  <si>
    <t xml:space="preserve">PBC-127</t>
  </si>
  <si>
    <t xml:space="preserve">corrective action tickets</t>
  </si>
  <si>
    <t xml:space="preserve">PBC-128</t>
  </si>
  <si>
    <t xml:space="preserve">PBC-129</t>
  </si>
  <si>
    <t xml:space="preserve">Backup policy configuration</t>
  </si>
  <si>
    <t xml:space="preserve">PBC-130</t>
  </si>
  <si>
    <t xml:space="preserve">backup job success report</t>
  </si>
  <si>
    <t xml:space="preserve">PBC-131</t>
  </si>
  <si>
    <t xml:space="preserve">PBC-132</t>
  </si>
  <si>
    <t xml:space="preserve">BC/DR plan</t>
  </si>
  <si>
    <t xml:space="preserve">PBC-133</t>
  </si>
  <si>
    <t xml:space="preserve">DR test report</t>
  </si>
  <si>
    <t xml:space="preserve">PBC-134</t>
  </si>
  <si>
    <t xml:space="preserve">Architecture diagram</t>
  </si>
  <si>
    <t xml:space="preserve">PBC-135</t>
  </si>
  <si>
    <t xml:space="preserve">multi-AZ config export</t>
  </si>
  <si>
    <t xml:space="preserve">Risk ID</t>
  </si>
  <si>
    <t xml:space="preserve">Risk Description</t>
  </si>
  <si>
    <t xml:space="preserve">Asset / Subsystem</t>
  </si>
  <si>
    <t xml:space="preserve">Threat Source</t>
  </si>
  <si>
    <t xml:space="preserve">Likelihood (1-5)</t>
  </si>
  <si>
    <t xml:space="preserve">Impact (1-5)</t>
  </si>
  <si>
    <t xml:space="preserve">Inherent Score</t>
  </si>
  <si>
    <t xml:space="preserve">Inherent Rating</t>
  </si>
  <si>
    <t xml:space="preserve">Mitigating Controls</t>
  </si>
  <si>
    <t xml:space="preserve">Residual L (1-5)</t>
  </si>
  <si>
    <t xml:space="preserve">Residual Score</t>
  </si>
  <si>
    <t xml:space="preserve">Residual Rating</t>
  </si>
  <si>
    <t xml:space="preserve">Residual I (1-5)</t>
  </si>
  <si>
    <t xml:space="preserve">Treatment</t>
  </si>
  <si>
    <t xml:space="preserve">Risk Owner</t>
  </si>
  <si>
    <t xml:space="preserve">Review Date</t>
  </si>
  <si>
    <t xml:space="preserve">R-01</t>
  </si>
  <si>
    <t xml:space="preserve">Unauthorized code merged to production branch</t>
  </si>
  <si>
    <t xml:space="preserve">SCM, CI</t>
  </si>
  <si>
    <t xml:space="preserve">Insider / compromised dev account</t>
  </si>
  <si>
    <t xml:space="preserve">CHG-01, CHG-02, IAM-01, MON-03</t>
  </si>
  <si>
    <t xml:space="preserve">Mitigate</t>
  </si>
  <si>
    <t xml:space="preserve">R-02</t>
  </si>
  <si>
    <t xml:space="preserve">CI/CD pipeline compromise (malicious workflow, poisoned third-party action)</t>
  </si>
  <si>
    <t xml:space="preserve">External attacker / supply chain</t>
  </si>
  <si>
    <t xml:space="preserve">CHG-11, CHG-07, IAM-07, INF-06</t>
  </si>
  <si>
    <t xml:space="preserve">R-03</t>
  </si>
  <si>
    <t xml:space="preserve">Leaked long-lived cloud credentials</t>
  </si>
  <si>
    <t xml:space="preserve">External attacker</t>
  </si>
  <si>
    <t xml:space="preserve">IAM-07, INF-06, MON-03</t>
  </si>
  <si>
    <t xml:space="preserve">R-04</t>
  </si>
  <si>
    <t xml:space="preserve">Terminated employee retains access</t>
  </si>
  <si>
    <t xml:space="preserve">IDP, all SaaS</t>
  </si>
  <si>
    <t xml:space="preserve">Former insider</t>
  </si>
  <si>
    <t xml:space="preserve">IAM-03, IAM-04</t>
  </si>
  <si>
    <t xml:space="preserve">R-05</t>
  </si>
  <si>
    <t xml:space="preserve">Excessive privileged access in production</t>
  </si>
  <si>
    <t xml:space="preserve">Insider error / misuse</t>
  </si>
  <si>
    <t xml:space="preserve">IAM-05, IAM-06, IAM-04</t>
  </si>
  <si>
    <t xml:space="preserve">R-06</t>
  </si>
  <si>
    <t xml:space="preserve">Cloud misconfiguration exposes customer data publicly</t>
  </si>
  <si>
    <t xml:space="preserve">Human error</t>
  </si>
  <si>
    <t xml:space="preserve">INF-02, INF-11, CHG-10</t>
  </si>
  <si>
    <t xml:space="preserve">R-07</t>
  </si>
  <si>
    <t xml:space="preserve">Unpatched critical vulnerability exploited</t>
  </si>
  <si>
    <t xml:space="preserve">CLD, K8S, REG</t>
  </si>
  <si>
    <t xml:space="preserve">VUL-01, VUL-03, CHG-04</t>
  </si>
  <si>
    <t xml:space="preserve">R-08</t>
  </si>
  <si>
    <t xml:space="preserve">Security event not detected due to logging gap</t>
  </si>
  <si>
    <t xml:space="preserve">Any</t>
  </si>
  <si>
    <t xml:space="preserve">MON-01, MON-02, MON-06</t>
  </si>
  <si>
    <t xml:space="preserve">R-09</t>
  </si>
  <si>
    <t xml:space="preserve">Ransomware / destructive attack destroys production data</t>
  </si>
  <si>
    <t xml:space="preserve">CLD, BKP</t>
  </si>
  <si>
    <t xml:space="preserve">BCP-01, BCP-02, IAM-05</t>
  </si>
  <si>
    <t xml:space="preserve">R-10</t>
  </si>
  <si>
    <t xml:space="preserve">Regional cloud outage causes extended downtime</t>
  </si>
  <si>
    <t xml:space="preserve">Environmental / provider</t>
  </si>
  <si>
    <t xml:space="preserve">BCP-03, BCP-04</t>
  </si>
  <si>
    <t xml:space="preserve">Mitigate / Accept residual</t>
  </si>
  <si>
    <t xml:space="preserve">R-11</t>
  </si>
  <si>
    <t xml:space="preserve">Critical vendor breach impacts customer data</t>
  </si>
  <si>
    <t xml:space="preserve">Third party</t>
  </si>
  <si>
    <t xml:space="preserve">Mitigate / Transfer</t>
  </si>
  <si>
    <t xml:space="preserve">R-12</t>
  </si>
  <si>
    <t xml:space="preserve">Phishing leads to account takeover</t>
  </si>
  <si>
    <t xml:space="preserve">IDP, MDM</t>
  </si>
  <si>
    <t xml:space="preserve">IAM-01, HR-03, INF-08</t>
  </si>
  <si>
    <t xml:space="preserve">R-13</t>
  </si>
  <si>
    <t xml:space="preserve">Secrets committed to source control</t>
  </si>
  <si>
    <t xml:space="preserve">INF-06, CHG-04</t>
  </si>
  <si>
    <t xml:space="preserve">R-14</t>
  </si>
  <si>
    <t xml:space="preserve">Fraud: change and approval performed by the same person (SoD)</t>
  </si>
  <si>
    <t xml:space="preserve">SCM, CI, ITSM</t>
  </si>
  <si>
    <t xml:space="preserve">Insider</t>
  </si>
  <si>
    <t xml:space="preserve">CHG-02, CHG-05, RSK-01</t>
  </si>
  <si>
    <t xml:space="preserve">R-15</t>
  </si>
  <si>
    <t xml:space="preserve">Evidence gaps cause Type II exception</t>
  </si>
  <si>
    <t xml:space="preserve">Process failure</t>
  </si>
  <si>
    <t xml:space="preserve">MON-06, GOV-05</t>
  </si>
  <si>
    <t xml:space="preserve">R-16</t>
  </si>
  <si>
    <t xml:space="preserve">Lost or stolen laptop exposes data</t>
  </si>
  <si>
    <t xml:space="preserve">Physical loss</t>
  </si>
  <si>
    <t xml:space="preserve">R-17</t>
  </si>
  <si>
    <t xml:space="preserve">Emergency change bypasses review and introduces defect</t>
  </si>
  <si>
    <t xml:space="preserve">Process pressure</t>
  </si>
  <si>
    <t xml:space="preserve">CHG-09, IR-03</t>
  </si>
  <si>
    <t xml:space="preserve">R-18</t>
  </si>
  <si>
    <t xml:space="preserve">Incident mishandled / late customer notification</t>
  </si>
  <si>
    <t xml:space="preserve">IR-01, IR-02, IR-04</t>
  </si>
  <si>
    <t xml:space="preserve">Scoring: Likelihood × Impact on 1–5 scales. High ≥ 15, Medium 8–14, Low ≤ 7. Blue values are seed assumptions – re-score for your environment during the annual risk assessment (RSK-01).</t>
  </si>
  <si>
    <t xml:space="preserve">Activity</t>
  </si>
  <si>
    <t xml:space="preserve">Control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</si>
  <si>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</si>
  <si>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</si>
  <si>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</si>
  <si>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</si>
  <si>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</si>
  <si>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</si>
  <si>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</si>
  <si>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</si>
  <si>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</si>
  <si>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</si>
  <si>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</si>
  <si>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</si>
  <si>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Occurrences</t>
  </si>
  <si>
    <t xml:space="preserve">Policy review &amp; approval</t>
  </si>
  <si>
    <t xml:space="preserve">●</t>
  </si>
  <si>
    <t xml:space="preserve">Board / oversight security update</t>
  </si>
  <si>
    <t xml:space="preserve">Security steering meeting</t>
  </si>
  <si>
    <t xml:space="preserve">Control owner attestations</t>
  </si>
  <si>
    <t xml:space="preserve">Risk assessment</t>
  </si>
  <si>
    <t xml:space="preserve">User access review (all in-scope systems)</t>
  </si>
  <si>
    <t xml:space="preserve">Vendor reviews (critical)</t>
  </si>
  <si>
    <t xml:space="preserve">Security awareness training campaign</t>
  </si>
  <si>
    <t xml:space="preserve">Penetration test</t>
  </si>
  <si>
    <t xml:space="preserve">Backup restore test</t>
  </si>
  <si>
    <t xml:space="preserve">DR test</t>
  </si>
  <si>
    <t xml:space="preserve">IR tabletop exercise</t>
  </si>
  <si>
    <t xml:space="preserve">Asset inventory review</t>
  </si>
  <si>
    <t xml:space="preserve">Non-pipeline production change query</t>
  </si>
  <si>
    <t xml:space="preserve">Patch / base image rebuild</t>
  </si>
  <si>
    <t xml:space="preserve">System description review</t>
  </si>
  <si>
    <t xml:space="preserve">Evidence package QA (sample pull)</t>
  </si>
  <si>
    <t xml:space="preserve">M1 = first month of the observation period. Shift activities to suit your calendar; keep quarterly activities evenly spaced so every quarter is represented in the period.</t>
  </si>
  <si>
    <t xml:space="preserve">Typical Minimum Sample</t>
  </si>
  <si>
    <t xml:space="preserve">Typical Range</t>
  </si>
  <si>
    <t xml:space="preserve">1</t>
  </si>
  <si>
    <t xml:space="preserve">Source: common practice aligned with AICPA Audit Sampling guidance; your audit firm's methodology governs.</t>
  </si>
  <si>
    <t xml:space="preserve">2</t>
  </si>
  <si>
    <t xml:space="preserve">2–3</t>
  </si>
  <si>
    <t xml:space="preserve">5–10</t>
  </si>
  <si>
    <t xml:space="preserve">20–40</t>
  </si>
  <si>
    <t xml:space="preserve">25–60 (depends on population size)</t>
  </si>
  <si>
    <t xml:space="preserve">1 per configuration, plus ITGC reliance and change testing</t>
  </si>
  <si>
    <t xml:space="preserve">Automated controls: test of one plus reliance on ITGCs (change mgmt &amp; access over the config). Show config was unchanged across the period via drift/change logs.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</si>
</sst>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/>
      <c r="B9" s="5"/>
    </row>
    <row r="10" customFormat="false" ht="15" hidden="false" customHeight="false" outlineLevel="0" collapsed="false">
      <c r="A10" s="6" t="s">
        <v>12</v>
      </c>
      <c r="B10" s="5"/>
    </row>
    <row r="11" customFormat="false" ht="15" hidden="false" customHeight="false" outlineLevel="0" collapsed="false">
      <c r="A11" s="3" t="s">
        <v>13</v>
      </c>
      <c r="B11" s="5" t="s">
        <v>14</v>
      </c>
    </row>
    <row r="12" customFormat="false" ht="15" hidden="false" customHeight="false" outlineLevel="0" collapsed="false">
      <c r="A12" s="3" t="s">
        <v>15</v>
      </c>
      <c r="B12" s="5" t="s">
        <v>16</v>
      </c>
    </row>
    <row r="13" customFormat="false" ht="15" hidden="false" customHeight="false" outlineLevel="0" collapsed="false">
      <c r="A13" s="3" t="s">
        <v>17</v>
      </c>
      <c r="B13" s="5" t="s">
        <v>18</v>
      </c>
    </row>
    <row r="14" customFormat="false" ht="23.85" hidden="false" customHeight="false" outlineLevel="0" collapsed="false">
      <c r="A14" s="3" t="s">
        <v>19</v>
      </c>
      <c r="B14" s="5" t="s">
        <v>20</v>
      </c>
    </row>
    <row r="15" customFormat="false" ht="23.85" hidden="false" customHeight="false" outlineLevel="0" collapsed="false">
      <c r="A15" s="3" t="s">
        <v>21</v>
      </c>
      <c r="B15" s="5" t="s">
        <v>22</v>
      </c>
    </row>
    <row r="16" customFormat="false" ht="15" hidden="false" customHeight="false" outlineLevel="0" collapsed="false">
      <c r="A16" s="3" t="s">
        <v>23</v>
      </c>
      <c r="B16" s="5" t="s">
        <v>24</v>
      </c>
    </row>
    <row r="17" customFormat="false" ht="15" hidden="false" customHeight="false" outlineLevel="0" collapsed="false">
      <c r="A17" s="3" t="s">
        <v>25</v>
      </c>
      <c r="B17" s="5" t="s">
        <v>26</v>
      </c>
    </row>
    <row r="18" customFormat="false" ht="15" hidden="false" customHeight="false" outlineLevel="0" collapsed="false">
      <c r="A18" s="3" t="s">
        <v>27</v>
      </c>
      <c r="B18" s="5" t="s">
        <v>28</v>
      </c>
    </row>
    <row r="19" customFormat="false" ht="15" hidden="false" customHeight="false" outlineLevel="0" collapsed="false">
      <c r="A19" s="3" t="s">
        <v>29</v>
      </c>
      <c r="B19" s="5" t="s">
        <v>30</v>
      </c>
    </row>
    <row r="20" customFormat="false" ht="15" hidden="false" customHeight="false" outlineLevel="0" collapsed="false">
      <c r="A20" s="3" t="s">
        <v>31</v>
      </c>
      <c r="B20" s="5" t="s">
        <v>32</v>
      </c>
    </row>
    <row r="21" customFormat="false" ht="23.85" hidden="false" customHeight="false" outlineLevel="0" collapsed="false">
      <c r="A21" s="3" t="s">
        <v>33</v>
      </c>
      <c r="B21" s="5" t="s">
        <v>34</v>
      </c>
    </row>
    <row r="22" customFormat="false" ht="15" hidden="false" customHeight="false" outlineLevel="0" collapsed="false">
      <c r="A22" s="3" t="s">
        <v>35</v>
      </c>
      <c r="B22" s="5" t="s">
        <v>36</v>
      </c>
    </row>
    <row r="23" customFormat="false" ht="15" hidden="false" customHeight="false" outlineLevel="0" collapsed="false">
      <c r="A23" s="3" t="s">
        <v>37</v>
      </c>
      <c r="B23" s="5" t="s">
        <v>38</v>
      </c>
    </row>
    <row r="24" customFormat="false" ht="15" hidden="false" customHeight="false" outlineLevel="0" collapsed="false">
      <c r="A24" s="3"/>
      <c r="B24" s="5"/>
    </row>
    <row r="25" customFormat="false" ht="23.85" hidden="false" customHeight="false" outlineLevel="0" collapsed="false">
      <c r="A25" s="3" t="s">
        <v>39</v>
      </c>
      <c r="B25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36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</row>
    <row r="2" customFormat="false" ht="23.85" hidden="false" customHeight="false" outlineLevel="0" collapsed="false">
      <c r="A2" s="8" t="n">
        <v>1</v>
      </c>
      <c r="B2" s="8" t="s">
        <v>2</v>
      </c>
      <c r="C2" s="8" t="s">
        <v>49</v>
      </c>
      <c r="D2" s="8" t="s">
        <v>50</v>
      </c>
      <c r="E2" s="8" t="s">
        <v>51</v>
      </c>
      <c r="F2" s="8" t="s">
        <v>52</v>
      </c>
      <c r="G2" s="9"/>
      <c r="H2" s="9"/>
    </row>
    <row r="3" customFormat="false" ht="23.85" hidden="false" customHeight="false" outlineLevel="0" collapsed="false">
      <c r="A3" s="8" t="n">
        <v>2</v>
      </c>
      <c r="B3" s="8" t="s">
        <v>2</v>
      </c>
      <c r="C3" s="8" t="s">
        <v>49</v>
      </c>
      <c r="D3" s="8" t="s">
        <v>53</v>
      </c>
      <c r="E3" s="8" t="s">
        <v>54</v>
      </c>
      <c r="F3" s="8" t="s">
        <v>55</v>
      </c>
      <c r="G3" s="9"/>
      <c r="H3" s="9"/>
    </row>
    <row r="4" customFormat="false" ht="15" hidden="false" customHeight="false" outlineLevel="0" collapsed="false">
      <c r="A4" s="8" t="n">
        <v>3</v>
      </c>
      <c r="B4" s="8" t="s">
        <v>2</v>
      </c>
      <c r="C4" s="8" t="s">
        <v>49</v>
      </c>
      <c r="D4" s="8" t="s">
        <v>56</v>
      </c>
      <c r="E4" s="8" t="s">
        <v>57</v>
      </c>
      <c r="F4" s="8" t="s">
        <v>58</v>
      </c>
      <c r="G4" s="9"/>
      <c r="H4" s="9"/>
    </row>
    <row r="5" customFormat="false" ht="15" hidden="false" customHeight="false" outlineLevel="0" collapsed="false">
      <c r="A5" s="8" t="n">
        <v>4</v>
      </c>
      <c r="B5" s="8" t="s">
        <v>2</v>
      </c>
      <c r="C5" s="8" t="s">
        <v>49</v>
      </c>
      <c r="D5" s="8" t="s">
        <v>59</v>
      </c>
      <c r="E5" s="8" t="s">
        <v>60</v>
      </c>
      <c r="F5" s="8" t="s">
        <v>61</v>
      </c>
      <c r="G5" s="9"/>
      <c r="H5" s="9"/>
    </row>
    <row r="6" customFormat="false" ht="15" hidden="false" customHeight="false" outlineLevel="0" collapsed="false">
      <c r="A6" s="8" t="n">
        <v>5</v>
      </c>
      <c r="B6" s="8" t="s">
        <v>2</v>
      </c>
      <c r="C6" s="8" t="s">
        <v>49</v>
      </c>
      <c r="D6" s="8" t="s">
        <v>62</v>
      </c>
      <c r="E6" s="8" t="s">
        <v>63</v>
      </c>
      <c r="F6" s="8" t="s">
        <v>64</v>
      </c>
      <c r="G6" s="9"/>
      <c r="H6" s="9"/>
    </row>
    <row r="7" customFormat="false" ht="23.85" hidden="false" customHeight="false" outlineLevel="0" collapsed="false">
      <c r="A7" s="8" t="n">
        <v>6</v>
      </c>
      <c r="B7" s="8" t="s">
        <v>65</v>
      </c>
      <c r="C7" s="8" t="s">
        <v>66</v>
      </c>
      <c r="D7" s="8" t="s">
        <v>67</v>
      </c>
      <c r="E7" s="8" t="s">
        <v>68</v>
      </c>
      <c r="F7" s="8" t="s">
        <v>69</v>
      </c>
      <c r="G7" s="9"/>
      <c r="H7" s="9"/>
    </row>
    <row r="8" customFormat="false" ht="15" hidden="false" customHeight="false" outlineLevel="0" collapsed="false">
      <c r="A8" s="8" t="n">
        <v>7</v>
      </c>
      <c r="B8" s="8" t="s">
        <v>65</v>
      </c>
      <c r="C8" s="8" t="s">
        <v>66</v>
      </c>
      <c r="D8" s="8" t="s">
        <v>70</v>
      </c>
      <c r="E8" s="8" t="s">
        <v>71</v>
      </c>
      <c r="F8" s="8" t="s">
        <v>72</v>
      </c>
      <c r="G8" s="9"/>
      <c r="H8" s="9"/>
    </row>
    <row r="9" customFormat="false" ht="15" hidden="false" customHeight="false" outlineLevel="0" collapsed="false">
      <c r="A9" s="8" t="n">
        <v>8</v>
      </c>
      <c r="B9" s="8" t="s">
        <v>65</v>
      </c>
      <c r="C9" s="8" t="s">
        <v>66</v>
      </c>
      <c r="D9" s="8" t="s">
        <v>73</v>
      </c>
      <c r="E9" s="8" t="s">
        <v>74</v>
      </c>
      <c r="F9" s="8" t="s">
        <v>75</v>
      </c>
      <c r="G9" s="9"/>
      <c r="H9" s="9"/>
    </row>
    <row r="10" customFormat="false" ht="15" hidden="false" customHeight="false" outlineLevel="0" collapsed="false">
      <c r="A10" s="8" t="n">
        <v>9</v>
      </c>
      <c r="B10" s="8" t="s">
        <v>65</v>
      </c>
      <c r="C10" s="8" t="s">
        <v>66</v>
      </c>
      <c r="D10" s="8" t="s">
        <v>76</v>
      </c>
      <c r="E10" s="8" t="s">
        <v>77</v>
      </c>
      <c r="F10" s="8" t="s">
        <v>78</v>
      </c>
      <c r="G10" s="9"/>
      <c r="H10" s="9"/>
    </row>
    <row r="11" customFormat="false" ht="23.85" hidden="false" customHeight="false" outlineLevel="0" collapsed="false">
      <c r="A11" s="8" t="n">
        <v>10</v>
      </c>
      <c r="B11" s="8" t="s">
        <v>79</v>
      </c>
      <c r="C11" s="8" t="s">
        <v>80</v>
      </c>
      <c r="D11" s="8" t="s">
        <v>81</v>
      </c>
      <c r="E11" s="8" t="s">
        <v>82</v>
      </c>
      <c r="F11" s="8" t="s">
        <v>83</v>
      </c>
      <c r="G11" s="9"/>
      <c r="H11" s="9"/>
    </row>
    <row r="12" customFormat="false" ht="15" hidden="false" customHeight="false" outlineLevel="0" collapsed="false">
      <c r="A12" s="8" t="n">
        <v>11</v>
      </c>
      <c r="B12" s="8" t="s">
        <v>79</v>
      </c>
      <c r="C12" s="8" t="s">
        <v>80</v>
      </c>
      <c r="D12" s="8" t="s">
        <v>84</v>
      </c>
      <c r="E12" s="8" t="s">
        <v>85</v>
      </c>
      <c r="F12" s="8" t="s">
        <v>86</v>
      </c>
      <c r="G12" s="9"/>
      <c r="H12" s="9"/>
    </row>
    <row r="13" customFormat="false" ht="23.85" hidden="false" customHeight="false" outlineLevel="0" collapsed="false">
      <c r="A13" s="8" t="n">
        <v>12</v>
      </c>
      <c r="B13" s="8" t="s">
        <v>79</v>
      </c>
      <c r="C13" s="8" t="s">
        <v>80</v>
      </c>
      <c r="D13" s="8" t="s">
        <v>87</v>
      </c>
      <c r="E13" s="8" t="s">
        <v>88</v>
      </c>
      <c r="F13" s="8" t="s">
        <v>89</v>
      </c>
      <c r="G13" s="9"/>
      <c r="H13" s="9"/>
    </row>
    <row r="14" customFormat="false" ht="23.85" hidden="false" customHeight="false" outlineLevel="0" collapsed="false">
      <c r="A14" s="8" t="n">
        <v>13</v>
      </c>
      <c r="B14" s="8" t="s">
        <v>90</v>
      </c>
      <c r="C14" s="8" t="s">
        <v>91</v>
      </c>
      <c r="D14" s="8" t="s">
        <v>92</v>
      </c>
      <c r="E14" s="8" t="s">
        <v>93</v>
      </c>
      <c r="F14" s="8" t="s">
        <v>94</v>
      </c>
      <c r="G14" s="9"/>
      <c r="H14" s="9"/>
    </row>
    <row r="15" customFormat="false" ht="15" hidden="false" customHeight="false" outlineLevel="0" collapsed="false">
      <c r="A15" s="8" t="n">
        <v>14</v>
      </c>
      <c r="B15" s="8" t="s">
        <v>90</v>
      </c>
      <c r="C15" s="8" t="s">
        <v>91</v>
      </c>
      <c r="D15" s="8" t="s">
        <v>95</v>
      </c>
      <c r="E15" s="8" t="s">
        <v>96</v>
      </c>
      <c r="F15" s="8" t="s">
        <v>97</v>
      </c>
      <c r="G15" s="9"/>
      <c r="H15" s="9"/>
    </row>
    <row r="16" customFormat="false" ht="15" hidden="false" customHeight="false" outlineLevel="0" collapsed="false">
      <c r="A16" s="8" t="n">
        <v>15</v>
      </c>
      <c r="B16" s="8" t="s">
        <v>90</v>
      </c>
      <c r="C16" s="8" t="s">
        <v>91</v>
      </c>
      <c r="D16" s="8" t="s">
        <v>98</v>
      </c>
      <c r="E16" s="8" t="s">
        <v>99</v>
      </c>
      <c r="F16" s="8" t="s">
        <v>100</v>
      </c>
      <c r="G16" s="9"/>
      <c r="H16" s="9"/>
    </row>
    <row r="17" customFormat="false" ht="23.85" hidden="false" customHeight="false" outlineLevel="0" collapsed="false">
      <c r="A17" s="8" t="n">
        <v>16</v>
      </c>
      <c r="B17" s="8" t="s">
        <v>101</v>
      </c>
      <c r="C17" s="8" t="s">
        <v>102</v>
      </c>
      <c r="D17" s="8" t="s">
        <v>103</v>
      </c>
      <c r="E17" s="8" t="s">
        <v>104</v>
      </c>
      <c r="F17" s="8" t="s">
        <v>105</v>
      </c>
      <c r="G17" s="9"/>
      <c r="H17" s="9"/>
    </row>
    <row r="18" customFormat="false" ht="15" hidden="false" customHeight="false" outlineLevel="0" collapsed="false">
      <c r="A18" s="8" t="n">
        <v>17</v>
      </c>
      <c r="B18" s="8" t="s">
        <v>101</v>
      </c>
      <c r="C18" s="8" t="s">
        <v>102</v>
      </c>
      <c r="D18" s="8" t="s">
        <v>106</v>
      </c>
      <c r="E18" s="8" t="s">
        <v>107</v>
      </c>
      <c r="F18" s="8" t="s">
        <v>108</v>
      </c>
      <c r="G18" s="9"/>
      <c r="H18" s="9"/>
    </row>
    <row r="19" customFormat="false" ht="15" hidden="false" customHeight="false" outlineLevel="0" collapsed="false">
      <c r="A19" s="8" t="n">
        <v>18</v>
      </c>
      <c r="B19" s="8" t="s">
        <v>101</v>
      </c>
      <c r="C19" s="8" t="s">
        <v>102</v>
      </c>
      <c r="D19" s="8" t="s">
        <v>109</v>
      </c>
      <c r="E19" s="8" t="s">
        <v>110</v>
      </c>
      <c r="F19" s="8" t="s">
        <v>111</v>
      </c>
      <c r="G19" s="9"/>
      <c r="H19" s="9"/>
    </row>
    <row r="20" customFormat="false" ht="23.85" hidden="false" customHeight="false" outlineLevel="0" collapsed="false">
      <c r="A20" s="8" t="n">
        <v>19</v>
      </c>
      <c r="B20" s="8" t="s">
        <v>112</v>
      </c>
      <c r="C20" s="8" t="s">
        <v>113</v>
      </c>
      <c r="D20" s="8" t="s">
        <v>114</v>
      </c>
      <c r="E20" s="8" t="s">
        <v>115</v>
      </c>
      <c r="F20" s="8" t="s">
        <v>116</v>
      </c>
      <c r="G20" s="9"/>
      <c r="H20" s="9"/>
    </row>
    <row r="21" customFormat="false" ht="15" hidden="false" customHeight="false" outlineLevel="0" collapsed="false">
      <c r="A21" s="8" t="n">
        <v>20</v>
      </c>
      <c r="B21" s="8" t="s">
        <v>112</v>
      </c>
      <c r="C21" s="8" t="s">
        <v>113</v>
      </c>
      <c r="D21" s="8" t="s">
        <v>117</v>
      </c>
      <c r="E21" s="8" t="s">
        <v>118</v>
      </c>
      <c r="F21" s="8" t="s">
        <v>119</v>
      </c>
      <c r="G21" s="9"/>
      <c r="H21" s="9"/>
    </row>
    <row r="22" customFormat="false" ht="23.85" hidden="false" customHeight="false" outlineLevel="0" collapsed="false">
      <c r="A22" s="8" t="n">
        <v>21</v>
      </c>
      <c r="B22" s="8" t="s">
        <v>120</v>
      </c>
      <c r="C22" s="8" t="s">
        <v>121</v>
      </c>
      <c r="D22" s="8" t="s">
        <v>122</v>
      </c>
      <c r="E22" s="8" t="s">
        <v>123</v>
      </c>
      <c r="F22" s="8" t="s">
        <v>124</v>
      </c>
      <c r="G22" s="9"/>
      <c r="H22" s="9"/>
    </row>
    <row r="23" customFormat="false" ht="23.85" hidden="false" customHeight="false" outlineLevel="0" collapsed="false">
      <c r="A23" s="8" t="n">
        <v>22</v>
      </c>
      <c r="B23" s="8" t="s">
        <v>120</v>
      </c>
      <c r="C23" s="8" t="s">
        <v>121</v>
      </c>
      <c r="D23" s="8" t="s">
        <v>125</v>
      </c>
      <c r="E23" s="8" t="s">
        <v>126</v>
      </c>
      <c r="F23" s="8" t="s">
        <v>127</v>
      </c>
      <c r="G23" s="9"/>
      <c r="H23" s="9"/>
    </row>
    <row r="24" customFormat="false" ht="15" hidden="false" customHeight="false" outlineLevel="0" collapsed="false">
      <c r="A24" s="8" t="n">
        <v>23</v>
      </c>
      <c r="B24" s="8" t="s">
        <v>120</v>
      </c>
      <c r="C24" s="8" t="s">
        <v>121</v>
      </c>
      <c r="D24" s="8" t="s">
        <v>128</v>
      </c>
      <c r="E24" s="8" t="s">
        <v>129</v>
      </c>
      <c r="F24" s="8" t="s">
        <v>130</v>
      </c>
      <c r="G24" s="9"/>
      <c r="H24" s="9"/>
    </row>
    <row r="25" customFormat="false" ht="23.85" hidden="false" customHeight="false" outlineLevel="0" collapsed="false">
      <c r="A25" s="8" t="n">
        <v>24</v>
      </c>
      <c r="B25" s="8" t="s">
        <v>131</v>
      </c>
      <c r="C25" s="8" t="s">
        <v>132</v>
      </c>
      <c r="D25" s="8" t="s">
        <v>133</v>
      </c>
      <c r="E25" s="8" t="s">
        <v>134</v>
      </c>
      <c r="F25" s="8" t="s">
        <v>135</v>
      </c>
      <c r="G25" s="9"/>
      <c r="H25" s="9"/>
    </row>
    <row r="26" customFormat="false" ht="23.85" hidden="false" customHeight="false" outlineLevel="0" collapsed="false">
      <c r="A26" s="8" t="n">
        <v>25</v>
      </c>
      <c r="B26" s="8" t="s">
        <v>136</v>
      </c>
      <c r="C26" s="8" t="s">
        <v>137</v>
      </c>
      <c r="D26" s="8" t="s">
        <v>138</v>
      </c>
      <c r="E26" s="8" t="s">
        <v>139</v>
      </c>
      <c r="F26" s="8" t="s">
        <v>140</v>
      </c>
      <c r="G26" s="9"/>
      <c r="H26" s="9"/>
    </row>
    <row r="27" customFormat="false" ht="15" hidden="false" customHeight="false" outlineLevel="0" collapsed="false">
      <c r="A27" s="8" t="n">
        <v>26</v>
      </c>
      <c r="B27" s="8" t="s">
        <v>141</v>
      </c>
      <c r="C27" s="8" t="s">
        <v>142</v>
      </c>
      <c r="D27" s="8" t="s">
        <v>143</v>
      </c>
      <c r="E27" s="8" t="s">
        <v>144</v>
      </c>
      <c r="F27" s="8" t="s">
        <v>145</v>
      </c>
      <c r="G27" s="9"/>
      <c r="H27" s="9"/>
    </row>
    <row r="28" customFormat="false" ht="15" hidden="false" customHeight="false" outlineLevel="0" collapsed="false">
      <c r="A28" s="8" t="n">
        <v>27</v>
      </c>
      <c r="B28" s="8" t="s">
        <v>141</v>
      </c>
      <c r="C28" s="8" t="s">
        <v>146</v>
      </c>
      <c r="D28" s="8" t="s">
        <v>147</v>
      </c>
      <c r="E28" s="8" t="s">
        <v>148</v>
      </c>
      <c r="F28" s="8" t="s">
        <v>149</v>
      </c>
      <c r="G28" s="9"/>
      <c r="H28" s="9"/>
    </row>
    <row r="29" customFormat="false" ht="15" hidden="false" customHeight="false" outlineLevel="0" collapsed="false">
      <c r="A29" s="8" t="n">
        <v>28</v>
      </c>
      <c r="B29" s="8" t="s">
        <v>141</v>
      </c>
      <c r="C29" s="8" t="s">
        <v>146</v>
      </c>
      <c r="D29" s="8" t="s">
        <v>150</v>
      </c>
      <c r="E29" s="8" t="s">
        <v>151</v>
      </c>
      <c r="F29" s="8" t="s">
        <v>151</v>
      </c>
      <c r="G29" s="9"/>
      <c r="H29" s="9"/>
    </row>
    <row r="30" customFormat="false" ht="23.85" hidden="false" customHeight="false" outlineLevel="0" collapsed="false">
      <c r="A30" s="8" t="n">
        <v>29</v>
      </c>
      <c r="B30" s="8" t="s">
        <v>152</v>
      </c>
      <c r="C30" s="8" t="s">
        <v>153</v>
      </c>
      <c r="D30" s="8" t="s">
        <v>154</v>
      </c>
      <c r="E30" s="8" t="s">
        <v>155</v>
      </c>
      <c r="F30" s="8" t="s">
        <v>156</v>
      </c>
      <c r="G30" s="9"/>
      <c r="H30" s="9"/>
    </row>
    <row r="31" customFormat="false" ht="23.85" hidden="false" customHeight="false" outlineLevel="0" collapsed="false">
      <c r="A31" s="8" t="n">
        <v>30</v>
      </c>
      <c r="B31" s="8" t="s">
        <v>152</v>
      </c>
      <c r="C31" s="8" t="s">
        <v>157</v>
      </c>
      <c r="D31" s="8" t="s">
        <v>158</v>
      </c>
      <c r="E31" s="8" t="s">
        <v>159</v>
      </c>
      <c r="F31" s="8" t="s">
        <v>160</v>
      </c>
      <c r="G31" s="9"/>
      <c r="H31" s="9"/>
    </row>
    <row r="32" customFormat="false" ht="15" hidden="false" customHeight="false" outlineLevel="0" collapsed="false">
      <c r="A32" s="8" t="n">
        <v>31</v>
      </c>
      <c r="B32" s="8" t="s">
        <v>161</v>
      </c>
      <c r="C32" s="8" t="s">
        <v>162</v>
      </c>
      <c r="D32" s="8" t="s">
        <v>163</v>
      </c>
      <c r="E32" s="8" t="s">
        <v>164</v>
      </c>
      <c r="F32" s="8" t="s">
        <v>165</v>
      </c>
      <c r="G32" s="9"/>
      <c r="H32" s="9"/>
    </row>
    <row r="33" customFormat="false" ht="23.85" hidden="false" customHeight="false" outlineLevel="0" collapsed="false">
      <c r="A33" s="8" t="n">
        <v>32</v>
      </c>
      <c r="B33" s="8" t="s">
        <v>166</v>
      </c>
      <c r="C33" s="8" t="s">
        <v>167</v>
      </c>
      <c r="D33" s="8" t="s">
        <v>168</v>
      </c>
      <c r="E33" s="8" t="s">
        <v>169</v>
      </c>
      <c r="F33" s="8" t="s">
        <v>170</v>
      </c>
      <c r="G33" s="9"/>
      <c r="H33" s="9"/>
    </row>
    <row r="34" customFormat="false" ht="23.85" hidden="false" customHeight="false" outlineLevel="0" collapsed="false">
      <c r="A34" s="8" t="n">
        <v>33</v>
      </c>
      <c r="B34" s="8" t="s">
        <v>171</v>
      </c>
      <c r="C34" s="8" t="s">
        <v>172</v>
      </c>
      <c r="D34" s="8" t="s">
        <v>173</v>
      </c>
      <c r="E34" s="8" t="s">
        <v>174</v>
      </c>
      <c r="F34" s="8" t="s">
        <v>175</v>
      </c>
      <c r="G34" s="9"/>
      <c r="H34" s="9"/>
    </row>
    <row r="35" customFormat="false" ht="15" hidden="false" customHeight="false" outlineLevel="0" collapsed="false">
      <c r="A35" s="8" t="n">
        <v>34</v>
      </c>
      <c r="B35" s="8" t="s">
        <v>176</v>
      </c>
      <c r="C35" s="8" t="s">
        <v>177</v>
      </c>
      <c r="D35" s="8" t="s">
        <v>178</v>
      </c>
      <c r="E35" s="8" t="s">
        <v>179</v>
      </c>
      <c r="F35" s="8" t="s">
        <v>180</v>
      </c>
      <c r="G35" s="9"/>
      <c r="H35" s="9"/>
    </row>
    <row r="37" customFormat="false" ht="15" hidden="false" customHeight="false" outlineLevel="0" collapsed="false">
      <c r="D37" s="3" t="s">
        <v>181</v>
      </c>
      <c r="E37" s="0" t="str">
        <f aca="false">COUNTA(G2:G35)&amp;" of "&amp;COUNTA(D2:D35)</f>
        <v>0 of 34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10" t="s">
        <v>183</v>
      </c>
      <c r="B4" s="10" t="s">
        <v>184</v>
      </c>
      <c r="C4" s="10" t="s">
        <v>185</v>
      </c>
      <c r="D4" s="10" t="s">
        <v>186</v>
      </c>
      <c r="E4" s="10" t="s">
        <v>187</v>
      </c>
      <c r="F4" s="10" t="s">
        <v>188</v>
      </c>
      <c r="G4" s="10" t="s">
        <v>189</v>
      </c>
    </row>
    <row r="5" customFormat="false" ht="15" hidden="false" customHeight="false" outlineLevel="0" collapsed="false">
      <c r="A5" s="8" t="s">
        <v>190</v>
      </c>
      <c r="B5" s="8" t="n">
        <f aca="false">COUNTIF('Control Matrix'!$B$2:$B$70,A5)</f>
        <v>8</v>
      </c>
      <c r="C5" s="8" t="n">
        <f aca="false">COUNTIFS('Control Matrix'!$B$2:$B$70,A5,'Control Matrix'!$R$2:$R$70,"Implemented")</f>
        <v>1</v>
      </c>
      <c r="D5" s="8" t="n">
        <f aca="false">COUNTIFS('Control Matrix'!$B$2:$B$70,A5,'Control Matrix'!$R$2:$R$70,"Partially implemented")</f>
        <v>0</v>
      </c>
      <c r="E5" s="8" t="n">
        <f aca="false">COUNTIFS('Control Matrix'!$B$2:$B$70,A5,'Control Matrix'!$R$2:$R$70,"Not implemented")</f>
        <v>0</v>
      </c>
      <c r="F5" s="8" t="n">
        <f aca="false">COUNTIFS('Control Matrix'!$B$2:$B$70,A5,'Control Matrix'!$R$2:$R$70,"Not applicable")</f>
        <v>0</v>
      </c>
      <c r="G5" s="11" t="n">
        <f aca="false">IF((B5-F5)=0,0,C5/(B5-F5))</f>
        <v>0.125</v>
      </c>
    </row>
    <row r="6" customFormat="false" ht="15" hidden="false" customHeight="false" outlineLevel="0" collapsed="false">
      <c r="A6" s="8" t="s">
        <v>191</v>
      </c>
      <c r="B6" s="8" t="n">
        <f aca="false">COUNTIF('Control Matrix'!$B$2:$B$70,A6)</f>
        <v>5</v>
      </c>
      <c r="C6" s="8" t="n">
        <f aca="false">COUNTIFS('Control Matrix'!$B$2:$B$70,A6,'Control Matrix'!$R$2:$R$70,"Implemented")</f>
        <v>0</v>
      </c>
      <c r="D6" s="8" t="n">
        <f aca="false">COUNTIFS('Control Matrix'!$B$2:$B$70,A6,'Control Matrix'!$R$2:$R$70,"Partially implemented")</f>
        <v>0</v>
      </c>
      <c r="E6" s="8" t="n">
        <f aca="false">COUNTIFS('Control Matrix'!$B$2:$B$70,A6,'Control Matrix'!$R$2:$R$70,"Not implemented")</f>
        <v>0</v>
      </c>
      <c r="F6" s="8" t="n">
        <f aca="false">COUNTIFS('Control Matrix'!$B$2:$B$70,A6,'Control Matrix'!$R$2:$R$70,"Not applicable")</f>
        <v>0</v>
      </c>
      <c r="G6" s="11" t="n">
        <f aca="false">IF((B6-F6)=0,0,C6/(B6-F6))</f>
        <v>0</v>
      </c>
    </row>
    <row r="7" customFormat="false" ht="15" hidden="false" customHeight="false" outlineLevel="0" collapsed="false">
      <c r="A7" s="8" t="s">
        <v>192</v>
      </c>
      <c r="B7" s="8" t="n">
        <f aca="false">COUNTIF('Control Matrix'!$B$2:$B$70,A7)</f>
        <v>4</v>
      </c>
      <c r="C7" s="8" t="n">
        <f aca="false">COUNTIFS('Control Matrix'!$B$2:$B$70,A7,'Control Matrix'!$R$2:$R$70,"Implemented")</f>
        <v>0</v>
      </c>
      <c r="D7" s="8" t="n">
        <f aca="false">COUNTIFS('Control Matrix'!$B$2:$B$70,A7,'Control Matrix'!$R$2:$R$70,"Partially implemented")</f>
        <v>0</v>
      </c>
      <c r="E7" s="8" t="n">
        <f aca="false">COUNTIFS('Control Matrix'!$B$2:$B$70,A7,'Control Matrix'!$R$2:$R$70,"Not implemented")</f>
        <v>0</v>
      </c>
      <c r="F7" s="8" t="n">
        <f aca="false">COUNTIFS('Control Matrix'!$B$2:$B$70,A7,'Control Matrix'!$R$2:$R$70,"Not applicable")</f>
        <v>0</v>
      </c>
      <c r="G7" s="11" t="n">
        <f aca="false">IF((B7-F7)=0,0,C7/(B7-F7))</f>
        <v>0</v>
      </c>
    </row>
    <row r="8" customFormat="false" ht="15" hidden="false" customHeight="false" outlineLevel="0" collapsed="false">
      <c r="A8" s="8" t="s">
        <v>193</v>
      </c>
      <c r="B8" s="8" t="n">
        <f aca="false">COUNTIF('Control Matrix'!$B$2:$B$70,A8)</f>
        <v>3</v>
      </c>
      <c r="C8" s="8" t="n">
        <f aca="false">COUNTIFS('Control Matrix'!$B$2:$B$70,A8,'Control Matrix'!$R$2:$R$70,"Implemented")</f>
        <v>0</v>
      </c>
      <c r="D8" s="8" t="n">
        <f aca="false">COUNTIFS('Control Matrix'!$B$2:$B$70,A8,'Control Matrix'!$R$2:$R$70,"Partially implemented")</f>
        <v>0</v>
      </c>
      <c r="E8" s="8" t="n">
        <f aca="false">COUNTIFS('Control Matrix'!$B$2:$B$70,A8,'Control Matrix'!$R$2:$R$70,"Not implemented")</f>
        <v>0</v>
      </c>
      <c r="F8" s="8" t="n">
        <f aca="false">COUNTIFS('Control Matrix'!$B$2:$B$70,A8,'Control Matrix'!$R$2:$R$70,"Not applicable")</f>
        <v>0</v>
      </c>
      <c r="G8" s="11" t="n">
        <f aca="false">IF((B8-F8)=0,0,C8/(B8-F8))</f>
        <v>0</v>
      </c>
    </row>
    <row r="9" customFormat="false" ht="15" hidden="false" customHeight="false" outlineLevel="0" collapsed="false">
      <c r="A9" s="8" t="s">
        <v>194</v>
      </c>
      <c r="B9" s="8" t="n">
        <f aca="false">COUNTIF('Control Matrix'!$B$2:$B$70,A9)</f>
        <v>9</v>
      </c>
      <c r="C9" s="8" t="n">
        <f aca="false">COUNTIFS('Control Matrix'!$B$2:$B$70,A9,'Control Matrix'!$R$2:$R$70,"Implemented")</f>
        <v>0</v>
      </c>
      <c r="D9" s="8" t="n">
        <f aca="false">COUNTIFS('Control Matrix'!$B$2:$B$70,A9,'Control Matrix'!$R$2:$R$70,"Partially implemented")</f>
        <v>0</v>
      </c>
      <c r="E9" s="8" t="n">
        <f aca="false">COUNTIFS('Control Matrix'!$B$2:$B$70,A9,'Control Matrix'!$R$2:$R$70,"Not implemented")</f>
        <v>0</v>
      </c>
      <c r="F9" s="8" t="n">
        <f aca="false">COUNTIFS('Control Matrix'!$B$2:$B$70,A9,'Control Matrix'!$R$2:$R$70,"Not applicable")</f>
        <v>0</v>
      </c>
      <c r="G9" s="11" t="n">
        <f aca="false">IF((B9-F9)=0,0,C9/(B9-F9))</f>
        <v>0</v>
      </c>
    </row>
    <row r="10" customFormat="false" ht="15" hidden="false" customHeight="false" outlineLevel="0" collapsed="false">
      <c r="A10" s="8" t="s">
        <v>195</v>
      </c>
      <c r="B10" s="8" t="n">
        <f aca="false">COUNTIF('Control Matrix'!$B$2:$B$70,A10)</f>
        <v>12</v>
      </c>
      <c r="C10" s="8" t="n">
        <f aca="false">COUNTIFS('Control Matrix'!$B$2:$B$70,A10,'Control Matrix'!$R$2:$R$70,"Implemented")</f>
        <v>0</v>
      </c>
      <c r="D10" s="8" t="n">
        <f aca="false">COUNTIFS('Control Matrix'!$B$2:$B$70,A10,'Control Matrix'!$R$2:$R$70,"Partially implemented")</f>
        <v>0</v>
      </c>
      <c r="E10" s="8" t="n">
        <f aca="false">COUNTIFS('Control Matrix'!$B$2:$B$70,A10,'Control Matrix'!$R$2:$R$70,"Not implemented")</f>
        <v>0</v>
      </c>
      <c r="F10" s="8" t="n">
        <f aca="false">COUNTIFS('Control Matrix'!$B$2:$B$70,A10,'Control Matrix'!$R$2:$R$70,"Not applicable")</f>
        <v>0</v>
      </c>
      <c r="G10" s="11" t="n">
        <f aca="false">IF((B10-F10)=0,0,C10/(B10-F10))</f>
        <v>0</v>
      </c>
    </row>
    <row r="11" customFormat="false" ht="15" hidden="false" customHeight="false" outlineLevel="0" collapsed="false">
      <c r="A11" s="8" t="s">
        <v>196</v>
      </c>
      <c r="B11" s="8" t="n">
        <f aca="false">COUNTIF('Control Matrix'!$B$2:$B$70,A11)</f>
        <v>11</v>
      </c>
      <c r="C11" s="8" t="n">
        <f aca="false">COUNTIFS('Control Matrix'!$B$2:$B$70,A11,'Control Matrix'!$R$2:$R$70,"Implemented")</f>
        <v>0</v>
      </c>
      <c r="D11" s="8" t="n">
        <f aca="false">COUNTIFS('Control Matrix'!$B$2:$B$70,A11,'Control Matrix'!$R$2:$R$70,"Partially implemented")</f>
        <v>0</v>
      </c>
      <c r="E11" s="8" t="n">
        <f aca="false">COUNTIFS('Control Matrix'!$B$2:$B$70,A11,'Control Matrix'!$R$2:$R$70,"Not implemented")</f>
        <v>0</v>
      </c>
      <c r="F11" s="8" t="n">
        <f aca="false">COUNTIFS('Control Matrix'!$B$2:$B$70,A11,'Control Matrix'!$R$2:$R$70,"Not applicable")</f>
        <v>0</v>
      </c>
      <c r="G11" s="11" t="n">
        <f aca="false">IF((B11-F11)=0,0,C11/(B11-F11))</f>
        <v>0</v>
      </c>
    </row>
    <row r="12" customFormat="false" ht="15" hidden="false" customHeight="false" outlineLevel="0" collapsed="false">
      <c r="A12" s="8" t="s">
        <v>197</v>
      </c>
      <c r="B12" s="8" t="n">
        <f aca="false">COUNTIF('Control Matrix'!$B$2:$B$70,A12)</f>
        <v>3</v>
      </c>
      <c r="C12" s="8" t="n">
        <f aca="false">COUNTIFS('Control Matrix'!$B$2:$B$70,A12,'Control Matrix'!$R$2:$R$70,"Implemented")</f>
        <v>0</v>
      </c>
      <c r="D12" s="8" t="n">
        <f aca="false">COUNTIFS('Control Matrix'!$B$2:$B$70,A12,'Control Matrix'!$R$2:$R$70,"Partially implemented")</f>
        <v>0</v>
      </c>
      <c r="E12" s="8" t="n">
        <f aca="false">COUNTIFS('Control Matrix'!$B$2:$B$70,A12,'Control Matrix'!$R$2:$R$70,"Not implemented")</f>
        <v>0</v>
      </c>
      <c r="F12" s="8" t="n">
        <f aca="false">COUNTIFS('Control Matrix'!$B$2:$B$70,A12,'Control Matrix'!$R$2:$R$70,"Not applicable")</f>
        <v>0</v>
      </c>
      <c r="G12" s="11" t="n">
        <f aca="false">IF((B12-F12)=0,0,C12/(B12-F12))</f>
        <v>0</v>
      </c>
    </row>
    <row r="13" customFormat="false" ht="15" hidden="false" customHeight="false" outlineLevel="0" collapsed="false">
      <c r="A13" s="8" t="s">
        <v>198</v>
      </c>
      <c r="B13" s="8" t="n">
        <f aca="false">COUNTIF('Control Matrix'!$B$2:$B$70,A13)</f>
        <v>6</v>
      </c>
      <c r="C13" s="8" t="n">
        <f aca="false">COUNTIFS('Control Matrix'!$B$2:$B$70,A13,'Control Matrix'!$R$2:$R$70,"Implemented")</f>
        <v>0</v>
      </c>
      <c r="D13" s="8" t="n">
        <f aca="false">COUNTIFS('Control Matrix'!$B$2:$B$70,A13,'Control Matrix'!$R$2:$R$70,"Partially implemented")</f>
        <v>0</v>
      </c>
      <c r="E13" s="8" t="n">
        <f aca="false">COUNTIFS('Control Matrix'!$B$2:$B$70,A13,'Control Matrix'!$R$2:$R$70,"Not implemented")</f>
        <v>0</v>
      </c>
      <c r="F13" s="8" t="n">
        <f aca="false">COUNTIFS('Control Matrix'!$B$2:$B$70,A13,'Control Matrix'!$R$2:$R$70,"Not applicable")</f>
        <v>0</v>
      </c>
      <c r="G13" s="11" t="n">
        <f aca="false">IF((B13-F13)=0,0,C13/(B13-F13))</f>
        <v>0</v>
      </c>
    </row>
    <row r="14" customFormat="false" ht="15" hidden="false" customHeight="false" outlineLevel="0" collapsed="false">
      <c r="A14" s="8" t="s">
        <v>199</v>
      </c>
      <c r="B14" s="8" t="n">
        <f aca="false">COUNTIF('Control Matrix'!$B$2:$B$70,A14)</f>
        <v>4</v>
      </c>
      <c r="C14" s="8" t="n">
        <f aca="false">COUNTIFS('Control Matrix'!$B$2:$B$70,A14,'Control Matrix'!$R$2:$R$70,"Implemented")</f>
        <v>0</v>
      </c>
      <c r="D14" s="8" t="n">
        <f aca="false">COUNTIFS('Control Matrix'!$B$2:$B$70,A14,'Control Matrix'!$R$2:$R$70,"Partially implemented")</f>
        <v>0</v>
      </c>
      <c r="E14" s="8" t="n">
        <f aca="false">COUNTIFS('Control Matrix'!$B$2:$B$70,A14,'Control Matrix'!$R$2:$R$70,"Not implemented")</f>
        <v>0</v>
      </c>
      <c r="F14" s="8" t="n">
        <f aca="false">COUNTIFS('Control Matrix'!$B$2:$B$70,A14,'Control Matrix'!$R$2:$R$70,"Not applicable")</f>
        <v>0</v>
      </c>
      <c r="G14" s="11" t="n">
        <f aca="false">IF((B14-F14)=0,0,C14/(B14-F14))</f>
        <v>0</v>
      </c>
    </row>
    <row r="15" customFormat="false" ht="15" hidden="false" customHeight="false" outlineLevel="0" collapsed="false">
      <c r="A15" s="8" t="s">
        <v>200</v>
      </c>
      <c r="B15" s="8" t="n">
        <f aca="false">COUNTIF('Control Matrix'!$B$2:$B$70,A15)</f>
        <v>4</v>
      </c>
      <c r="C15" s="8" t="n">
        <f aca="false">COUNTIFS('Control Matrix'!$B$2:$B$70,A15,'Control Matrix'!$R$2:$R$70,"Implemented")</f>
        <v>0</v>
      </c>
      <c r="D15" s="8" t="n">
        <f aca="false">COUNTIFS('Control Matrix'!$B$2:$B$70,A15,'Control Matrix'!$R$2:$R$70,"Partially implemented")</f>
        <v>0</v>
      </c>
      <c r="E15" s="8" t="n">
        <f aca="false">COUNTIFS('Control Matrix'!$B$2:$B$70,A15,'Control Matrix'!$R$2:$R$70,"Not implemented")</f>
        <v>0</v>
      </c>
      <c r="F15" s="8" t="n">
        <f aca="false">COUNTIFS('Control Matrix'!$B$2:$B$70,A15,'Control Matrix'!$R$2:$R$70,"Not applicable")</f>
        <v>0</v>
      </c>
      <c r="G15" s="11" t="n">
        <f aca="false">IF((B15-F15)=0,0,C15/(B15-F15))</f>
        <v>0</v>
      </c>
    </row>
    <row r="16" customFormat="false" ht="15" hidden="false" customHeight="false" outlineLevel="0" collapsed="false">
      <c r="A16" s="12" t="s">
        <v>201</v>
      </c>
      <c r="B16" s="12" t="n">
        <f aca="false">SUM(B5:B15)</f>
        <v>69</v>
      </c>
      <c r="C16" s="12" t="n">
        <f aca="false">SUM(C5:C15)</f>
        <v>1</v>
      </c>
      <c r="D16" s="12" t="n">
        <f aca="false">SUM(D5:D15)</f>
        <v>0</v>
      </c>
      <c r="E16" s="12" t="n">
        <f aca="false">SUM(E5:E15)</f>
        <v>0</v>
      </c>
      <c r="F16" s="12" t="n">
        <f aca="false">SUM(F5:F15)</f>
        <v>0</v>
      </c>
      <c r="G16" s="13" t="n">
        <f aca="false">IF((B16-F16)=0,0,C16/(B16-F16))</f>
        <v>0.0144927536231884</v>
      </c>
    </row>
    <row r="18" customFormat="false" ht="15" hidden="false" customHeight="false" outlineLevel="0" collapsed="false">
      <c r="A18" s="6" t="s">
        <v>202</v>
      </c>
    </row>
    <row r="19" customFormat="false" ht="15" hidden="false" customHeight="false" outlineLevel="0" collapsed="false">
      <c r="A19" s="8" t="s">
        <v>203</v>
      </c>
      <c r="B19" s="8" t="n">
        <f aca="false">COUNTA('TSC Coverage'!A2:A34)</f>
        <v>33</v>
      </c>
    </row>
    <row r="20" customFormat="false" ht="15" hidden="false" customHeight="false" outlineLevel="0" collapsed="false">
      <c r="A20" s="8" t="s">
        <v>204</v>
      </c>
      <c r="B20" s="8" t="n">
        <f aca="false">COUNTIF('TSC Coverage'!F2:F34,"GAP")</f>
        <v>0</v>
      </c>
    </row>
    <row r="21" customFormat="false" ht="15" hidden="false" customHeight="false" outlineLevel="0" collapsed="false">
      <c r="A21" s="8" t="s">
        <v>205</v>
      </c>
      <c r="B21" s="8" t="n">
        <f aca="false">COUNTIF('TSC Coverage'!G2:G34,"Ready")</f>
        <v>1</v>
      </c>
    </row>
    <row r="22" customFormat="false" ht="15" hidden="false" customHeight="false" outlineLevel="0" collapsed="false">
      <c r="A22" s="8" t="s">
        <v>206</v>
      </c>
      <c r="B22" s="8" t="n">
        <f aca="false">COUNTIF('PBC Evidence List'!I:I,"Received")+COUNTIF('PBC Evidence List'!I:I,"Accepted")</f>
        <v>0</v>
      </c>
    </row>
    <row r="23" customFormat="false" ht="15" hidden="false" customHeight="false" outlineLevel="0" collapsed="false">
      <c r="A23" s="8" t="s">
        <v>207</v>
      </c>
      <c r="B23" s="8" t="n">
        <f aca="false">COUNTA('PBC Evidence List'!A:A)-1</f>
        <v>135</v>
      </c>
    </row>
    <row r="24" customFormat="false" ht="23.85" hidden="false" customHeight="false" outlineLevel="0" collapsed="false">
      <c r="A24" s="8" t="s">
        <v>208</v>
      </c>
      <c r="B24" s="8" t="n">
        <f aca="false">COUNTIF('Risk Register'!K2:K200,"&gt;=8")</f>
        <v>2</v>
      </c>
    </row>
  </sheetData>
  <conditionalFormatting sqref="G5:G16">
    <cfRule type="cellIs" priority="2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2" min="11" style="0" width="42"/>
    <col collapsed="false" customWidth="true" hidden="false" outlineLevel="0" max="13" min="13" style="0" width="60"/>
    <col collapsed="false" customWidth="true" hidden="false" outlineLevel="0" max="14" min="14" style="0" width="20"/>
    <col collapsed="false" customWidth="true" hidden="false" outlineLevel="0" max="15" min="15" style="0" width="9"/>
    <col collapsed="false" customWidth="true" hidden="false" outlineLevel="0" max="16" min="16" style="0" width="18"/>
    <col collapsed="false" customWidth="true" hidden="false" outlineLevel="0" max="17" min="17" style="0" width="24"/>
    <col collapsed="false" customWidth="true" hidden="false" outlineLevel="0" max="18" min="18" style="0" width="18"/>
    <col collapsed="false" customWidth="true" hidden="false" outlineLevel="0" max="19" min="19" style="0" width="12"/>
    <col collapsed="false" customWidth="true" hidden="false" outlineLevel="0" max="20" min="20" style="0" width="30"/>
  </cols>
  <sheetData>
    <row r="1" customFormat="false" ht="31.5" hidden="false" customHeight="true" outlineLevel="0" collapsed="false">
      <c r="A1" s="7" t="s">
        <v>209</v>
      </c>
      <c r="B1" s="7" t="s">
        <v>183</v>
      </c>
      <c r="C1" s="7" t="s">
        <v>210</v>
      </c>
      <c r="D1" s="7" t="s">
        <v>211</v>
      </c>
      <c r="E1" s="7" t="s">
        <v>212</v>
      </c>
      <c r="F1" s="7" t="s">
        <v>213</v>
      </c>
      <c r="G1" s="7" t="s">
        <v>214</v>
      </c>
      <c r="H1" s="7" t="s">
        <v>215</v>
      </c>
      <c r="I1" s="7" t="s">
        <v>216</v>
      </c>
      <c r="J1" s="7" t="s">
        <v>217</v>
      </c>
      <c r="K1" s="7" t="s">
        <v>218</v>
      </c>
      <c r="L1" s="7" t="s">
        <v>25</v>
      </c>
      <c r="M1" s="7" t="s">
        <v>219</v>
      </c>
      <c r="N1" s="7" t="s">
        <v>220</v>
      </c>
      <c r="O1" s="7" t="s">
        <v>221</v>
      </c>
      <c r="P1" s="7" t="s">
        <v>222</v>
      </c>
      <c r="Q1" s="7" t="s">
        <v>223</v>
      </c>
      <c r="R1" s="7" t="s">
        <v>224</v>
      </c>
      <c r="S1" s="7" t="s">
        <v>225</v>
      </c>
      <c r="T1" s="7" t="s">
        <v>226</v>
      </c>
    </row>
    <row r="2" customFormat="false" ht="120" hidden="false" customHeight="true" outlineLevel="0" collapsed="false">
      <c r="A2" s="14" t="s">
        <v>64</v>
      </c>
      <c r="B2" s="8" t="s">
        <v>190</v>
      </c>
      <c r="C2" s="8" t="s">
        <v>227</v>
      </c>
      <c r="D2" s="8" t="s">
        <v>228</v>
      </c>
      <c r="E2" s="8" t="s">
        <v>172</v>
      </c>
      <c r="F2" s="8" t="s">
        <v>229</v>
      </c>
      <c r="G2" s="8" t="s">
        <v>230</v>
      </c>
      <c r="H2" s="8" t="s">
        <v>231</v>
      </c>
      <c r="I2" s="8" t="s">
        <v>232</v>
      </c>
      <c r="J2" s="8" t="s">
        <v>233</v>
      </c>
      <c r="K2" s="8" t="s">
        <v>234</v>
      </c>
      <c r="L2" s="8" t="s">
        <v>235</v>
      </c>
      <c r="M2" s="8" t="s">
        <v>236</v>
      </c>
      <c r="N2" s="8" t="s">
        <v>231</v>
      </c>
      <c r="O2" s="15" t="n">
        <f aca="false">IFERROR(INDEX('Sampling Guide'!$B$2:$B$20,MATCH(N2,'Sampling Guide'!$A$2:$A$20,0)),"TBD")</f>
        <v>1</v>
      </c>
      <c r="P2" s="16" t="s">
        <v>237</v>
      </c>
      <c r="Q2" s="16" t="s">
        <v>238</v>
      </c>
      <c r="R2" s="16" t="s">
        <v>185</v>
      </c>
      <c r="S2" s="16" t="s">
        <v>239</v>
      </c>
      <c r="T2" s="16" t="s">
        <v>240</v>
      </c>
    </row>
    <row r="3" customFormat="false" ht="120" hidden="false" customHeight="true" outlineLevel="0" collapsed="false">
      <c r="A3" s="14" t="s">
        <v>241</v>
      </c>
      <c r="B3" s="8" t="s">
        <v>190</v>
      </c>
      <c r="C3" s="8" t="s">
        <v>242</v>
      </c>
      <c r="D3" s="8" t="s">
        <v>243</v>
      </c>
      <c r="E3" s="8" t="s">
        <v>172</v>
      </c>
      <c r="F3" s="8" t="s">
        <v>244</v>
      </c>
      <c r="G3" s="8" t="s">
        <v>230</v>
      </c>
      <c r="H3" s="8" t="s">
        <v>231</v>
      </c>
      <c r="I3" s="8" t="s">
        <v>245</v>
      </c>
      <c r="J3" s="8" t="s">
        <v>246</v>
      </c>
      <c r="K3" s="8" t="s">
        <v>247</v>
      </c>
      <c r="L3" s="8" t="s">
        <v>248</v>
      </c>
      <c r="M3" s="8" t="s">
        <v>249</v>
      </c>
      <c r="N3" s="8" t="s">
        <v>231</v>
      </c>
      <c r="O3" s="15" t="n">
        <f aca="false">IFERROR(INDEX('Sampling Guide'!$B$2:$B$20,MATCH(N3,'Sampling Guide'!$A$2:$A$20,0)),"TBD")</f>
        <v>1</v>
      </c>
      <c r="P3" s="9"/>
      <c r="Q3" s="9"/>
      <c r="R3" s="9"/>
      <c r="S3" s="9"/>
      <c r="T3" s="9"/>
    </row>
    <row r="4" customFormat="false" ht="120" hidden="false" customHeight="true" outlineLevel="0" collapsed="false">
      <c r="A4" s="14" t="s">
        <v>55</v>
      </c>
      <c r="B4" s="8" t="s">
        <v>190</v>
      </c>
      <c r="C4" s="8" t="s">
        <v>250</v>
      </c>
      <c r="D4" s="8" t="s">
        <v>251</v>
      </c>
      <c r="E4" s="8" t="s">
        <v>252</v>
      </c>
      <c r="F4" s="8" t="s">
        <v>229</v>
      </c>
      <c r="G4" s="8" t="s">
        <v>253</v>
      </c>
      <c r="H4" s="8" t="s">
        <v>231</v>
      </c>
      <c r="I4" s="8" t="s">
        <v>254</v>
      </c>
      <c r="J4" s="8" t="s">
        <v>255</v>
      </c>
      <c r="K4" s="8" t="s">
        <v>256</v>
      </c>
      <c r="L4" s="8" t="s">
        <v>257</v>
      </c>
      <c r="M4" s="8" t="s">
        <v>258</v>
      </c>
      <c r="N4" s="8" t="s">
        <v>231</v>
      </c>
      <c r="O4" s="15" t="n">
        <f aca="false">IFERROR(INDEX('Sampling Guide'!$B$2:$B$20,MATCH(N4,'Sampling Guide'!$A$2:$A$20,0)),"TBD")</f>
        <v>1</v>
      </c>
      <c r="P4" s="9"/>
      <c r="Q4" s="9"/>
      <c r="R4" s="9"/>
      <c r="S4" s="9"/>
      <c r="T4" s="9"/>
    </row>
    <row r="5" customFormat="false" ht="120" hidden="false" customHeight="true" outlineLevel="0" collapsed="false">
      <c r="A5" s="14" t="s">
        <v>259</v>
      </c>
      <c r="B5" s="8" t="s">
        <v>190</v>
      </c>
      <c r="C5" s="8" t="s">
        <v>260</v>
      </c>
      <c r="D5" s="8" t="s">
        <v>261</v>
      </c>
      <c r="E5" s="8" t="s">
        <v>262</v>
      </c>
      <c r="F5" s="8" t="s">
        <v>244</v>
      </c>
      <c r="G5" s="8" t="s">
        <v>230</v>
      </c>
      <c r="H5" s="8" t="s">
        <v>263</v>
      </c>
      <c r="I5" s="8" t="s">
        <v>232</v>
      </c>
      <c r="J5" s="8" t="s">
        <v>264</v>
      </c>
      <c r="K5" s="8" t="s">
        <v>265</v>
      </c>
      <c r="L5" s="8" t="s">
        <v>266</v>
      </c>
      <c r="M5" s="8" t="s">
        <v>267</v>
      </c>
      <c r="N5" s="8" t="s">
        <v>263</v>
      </c>
      <c r="O5" s="15" t="n">
        <f aca="false">IFERROR(INDEX('Sampling Guide'!$B$2:$B$20,MATCH(N5,'Sampling Guide'!$A$2:$A$20,0)),"TBD")</f>
        <v>2</v>
      </c>
      <c r="P5" s="9"/>
      <c r="Q5" s="9" t="s">
        <v>268</v>
      </c>
      <c r="R5" s="9"/>
      <c r="S5" s="9"/>
      <c r="T5" s="9"/>
    </row>
    <row r="6" customFormat="false" ht="120" hidden="false" customHeight="true" outlineLevel="0" collapsed="false">
      <c r="A6" s="14" t="s">
        <v>58</v>
      </c>
      <c r="B6" s="8" t="s">
        <v>190</v>
      </c>
      <c r="C6" s="8" t="s">
        <v>269</v>
      </c>
      <c r="D6" s="8" t="s">
        <v>270</v>
      </c>
      <c r="E6" s="8" t="s">
        <v>271</v>
      </c>
      <c r="F6" s="8" t="s">
        <v>244</v>
      </c>
      <c r="G6" s="8" t="s">
        <v>253</v>
      </c>
      <c r="H6" s="8" t="s">
        <v>263</v>
      </c>
      <c r="I6" s="8" t="s">
        <v>272</v>
      </c>
      <c r="J6" s="8" t="s">
        <v>273</v>
      </c>
      <c r="K6" s="8" t="s">
        <v>274</v>
      </c>
      <c r="L6" s="8" t="s">
        <v>275</v>
      </c>
      <c r="M6" s="8" t="s">
        <v>276</v>
      </c>
      <c r="N6" s="8" t="s">
        <v>263</v>
      </c>
      <c r="O6" s="15" t="n">
        <f aca="false">IFERROR(INDEX('Sampling Guide'!$B$2:$B$20,MATCH(N6,'Sampling Guide'!$A$2:$A$20,0)),"TBD")</f>
        <v>2</v>
      </c>
      <c r="P6" s="9"/>
      <c r="Q6" s="9"/>
      <c r="R6" s="9"/>
      <c r="S6" s="9"/>
      <c r="T6" s="9"/>
    </row>
    <row r="7" customFormat="false" ht="120" hidden="false" customHeight="true" outlineLevel="0" collapsed="false">
      <c r="A7" s="14" t="s">
        <v>277</v>
      </c>
      <c r="B7" s="8" t="s">
        <v>190</v>
      </c>
      <c r="C7" s="8" t="s">
        <v>278</v>
      </c>
      <c r="D7" s="8" t="s">
        <v>279</v>
      </c>
      <c r="E7" s="8" t="s">
        <v>172</v>
      </c>
      <c r="F7" s="8" t="s">
        <v>229</v>
      </c>
      <c r="G7" s="8" t="s">
        <v>230</v>
      </c>
      <c r="H7" s="8" t="s">
        <v>280</v>
      </c>
      <c r="I7" s="8" t="s">
        <v>281</v>
      </c>
      <c r="J7" s="8" t="s">
        <v>282</v>
      </c>
      <c r="K7" s="8" t="s">
        <v>283</v>
      </c>
      <c r="L7" s="8" t="s">
        <v>284</v>
      </c>
      <c r="M7" s="8" t="s">
        <v>285</v>
      </c>
      <c r="N7" s="8" t="s">
        <v>286</v>
      </c>
      <c r="O7" s="15" t="n">
        <f aca="false">IFERROR(INDEX('Sampling Guide'!$B$2:$B$20,MATCH(N7,'Sampling Guide'!$A$2:$A$20,0)),"TBD")</f>
        <v>25</v>
      </c>
      <c r="P7" s="9"/>
      <c r="Q7" s="9"/>
      <c r="R7" s="9"/>
      <c r="S7" s="9"/>
      <c r="T7" s="9"/>
    </row>
    <row r="8" customFormat="false" ht="120" hidden="false" customHeight="true" outlineLevel="0" collapsed="false">
      <c r="A8" s="14" t="s">
        <v>287</v>
      </c>
      <c r="B8" s="8" t="s">
        <v>190</v>
      </c>
      <c r="C8" s="8" t="s">
        <v>288</v>
      </c>
      <c r="D8" s="8" t="s">
        <v>289</v>
      </c>
      <c r="E8" s="8" t="s">
        <v>91</v>
      </c>
      <c r="F8" s="8" t="s">
        <v>244</v>
      </c>
      <c r="G8" s="8" t="s">
        <v>230</v>
      </c>
      <c r="H8" s="8" t="s">
        <v>280</v>
      </c>
      <c r="I8" s="8" t="s">
        <v>281</v>
      </c>
      <c r="J8" s="8" t="s">
        <v>290</v>
      </c>
      <c r="K8" s="8" t="s">
        <v>291</v>
      </c>
      <c r="L8" s="8" t="s">
        <v>292</v>
      </c>
      <c r="M8" s="8" t="s">
        <v>293</v>
      </c>
      <c r="N8" s="8" t="s">
        <v>286</v>
      </c>
      <c r="O8" s="15" t="n">
        <f aca="false">IFERROR(INDEX('Sampling Guide'!$B$2:$B$20,MATCH(N8,'Sampling Guide'!$A$2:$A$20,0)),"TBD")</f>
        <v>25</v>
      </c>
      <c r="P8" s="9"/>
      <c r="Q8" s="9"/>
      <c r="R8" s="9"/>
      <c r="S8" s="9"/>
      <c r="T8" s="9"/>
    </row>
    <row r="9" customFormat="false" ht="120" hidden="false" customHeight="true" outlineLevel="0" collapsed="false">
      <c r="A9" s="14" t="s">
        <v>52</v>
      </c>
      <c r="B9" s="8" t="s">
        <v>190</v>
      </c>
      <c r="C9" s="8" t="s">
        <v>294</v>
      </c>
      <c r="D9" s="8" t="s">
        <v>295</v>
      </c>
      <c r="E9" s="8" t="s">
        <v>296</v>
      </c>
      <c r="F9" s="8" t="s">
        <v>229</v>
      </c>
      <c r="G9" s="8" t="s">
        <v>253</v>
      </c>
      <c r="H9" s="8" t="s">
        <v>231</v>
      </c>
      <c r="I9" s="8" t="s">
        <v>272</v>
      </c>
      <c r="J9" s="8" t="s">
        <v>297</v>
      </c>
      <c r="K9" s="8" t="s">
        <v>298</v>
      </c>
      <c r="L9" s="8" t="s">
        <v>299</v>
      </c>
      <c r="M9" s="8" t="s">
        <v>300</v>
      </c>
      <c r="N9" s="8" t="s">
        <v>231</v>
      </c>
      <c r="O9" s="15" t="n">
        <f aca="false">IFERROR(INDEX('Sampling Guide'!$B$2:$B$20,MATCH(N9,'Sampling Guide'!$A$2:$A$20,0)),"TBD")</f>
        <v>1</v>
      </c>
      <c r="P9" s="9"/>
      <c r="Q9" s="9" t="s">
        <v>301</v>
      </c>
      <c r="R9" s="9"/>
      <c r="S9" s="9"/>
      <c r="T9" s="9"/>
    </row>
    <row r="10" customFormat="false" ht="120" hidden="false" customHeight="true" outlineLevel="0" collapsed="false">
      <c r="A10" s="14" t="s">
        <v>302</v>
      </c>
      <c r="B10" s="8" t="s">
        <v>191</v>
      </c>
      <c r="C10" s="8" t="s">
        <v>303</v>
      </c>
      <c r="D10" s="8" t="s">
        <v>304</v>
      </c>
      <c r="E10" s="8" t="s">
        <v>113</v>
      </c>
      <c r="F10" s="8" t="s">
        <v>229</v>
      </c>
      <c r="G10" s="8" t="s">
        <v>253</v>
      </c>
      <c r="H10" s="8" t="s">
        <v>305</v>
      </c>
      <c r="I10" s="8" t="s">
        <v>254</v>
      </c>
      <c r="J10" s="8" t="s">
        <v>306</v>
      </c>
      <c r="K10" s="8" t="s">
        <v>307</v>
      </c>
      <c r="L10" s="8" t="s">
        <v>308</v>
      </c>
      <c r="M10" s="8" t="s">
        <v>309</v>
      </c>
      <c r="N10" s="8" t="s">
        <v>286</v>
      </c>
      <c r="O10" s="15" t="n">
        <f aca="false">IFERROR(INDEX('Sampling Guide'!$B$2:$B$20,MATCH(N10,'Sampling Guide'!$A$2:$A$20,0)),"TBD")</f>
        <v>25</v>
      </c>
      <c r="P10" s="9"/>
      <c r="Q10" s="9"/>
      <c r="R10" s="9"/>
      <c r="S10" s="9"/>
      <c r="T10" s="9"/>
    </row>
    <row r="11" customFormat="false" ht="120" hidden="false" customHeight="true" outlineLevel="0" collapsed="false">
      <c r="A11" s="14" t="s">
        <v>310</v>
      </c>
      <c r="B11" s="8" t="s">
        <v>191</v>
      </c>
      <c r="C11" s="8" t="s">
        <v>311</v>
      </c>
      <c r="D11" s="8" t="s">
        <v>312</v>
      </c>
      <c r="E11" s="8" t="s">
        <v>252</v>
      </c>
      <c r="F11" s="8" t="s">
        <v>229</v>
      </c>
      <c r="G11" s="8" t="s">
        <v>253</v>
      </c>
      <c r="H11" s="8" t="s">
        <v>313</v>
      </c>
      <c r="I11" s="8" t="s">
        <v>254</v>
      </c>
      <c r="J11" s="8" t="s">
        <v>314</v>
      </c>
      <c r="K11" s="8" t="s">
        <v>315</v>
      </c>
      <c r="L11" s="8" t="s">
        <v>316</v>
      </c>
      <c r="M11" s="8" t="s">
        <v>317</v>
      </c>
      <c r="N11" s="8" t="s">
        <v>286</v>
      </c>
      <c r="O11" s="15" t="n">
        <f aca="false">IFERROR(INDEX('Sampling Guide'!$B$2:$B$20,MATCH(N11,'Sampling Guide'!$A$2:$A$20,0)),"TBD")</f>
        <v>25</v>
      </c>
      <c r="P11" s="9"/>
      <c r="Q11" s="9"/>
      <c r="R11" s="9"/>
      <c r="S11" s="9"/>
      <c r="T11" s="9"/>
    </row>
    <row r="12" customFormat="false" ht="120" hidden="false" customHeight="true" outlineLevel="0" collapsed="false">
      <c r="A12" s="14" t="s">
        <v>318</v>
      </c>
      <c r="B12" s="8" t="s">
        <v>191</v>
      </c>
      <c r="C12" s="8" t="s">
        <v>319</v>
      </c>
      <c r="D12" s="8" t="s">
        <v>320</v>
      </c>
      <c r="E12" s="8" t="s">
        <v>252</v>
      </c>
      <c r="F12" s="8" t="s">
        <v>229</v>
      </c>
      <c r="G12" s="8" t="s">
        <v>253</v>
      </c>
      <c r="H12" s="8" t="s">
        <v>313</v>
      </c>
      <c r="I12" s="8" t="s">
        <v>232</v>
      </c>
      <c r="J12" s="8" t="s">
        <v>321</v>
      </c>
      <c r="K12" s="8" t="s">
        <v>322</v>
      </c>
      <c r="L12" s="8" t="s">
        <v>323</v>
      </c>
      <c r="M12" s="8" t="s">
        <v>324</v>
      </c>
      <c r="N12" s="8" t="s">
        <v>286</v>
      </c>
      <c r="O12" s="15" t="n">
        <f aca="false">IFERROR(INDEX('Sampling Guide'!$B$2:$B$20,MATCH(N12,'Sampling Guide'!$A$2:$A$20,0)),"TBD")</f>
        <v>25</v>
      </c>
      <c r="P12" s="9"/>
      <c r="Q12" s="9"/>
      <c r="R12" s="9"/>
      <c r="S12" s="9"/>
      <c r="T12" s="9"/>
    </row>
    <row r="13" customFormat="false" ht="120" hidden="false" customHeight="true" outlineLevel="0" collapsed="false">
      <c r="A13" s="14" t="s">
        <v>325</v>
      </c>
      <c r="B13" s="8" t="s">
        <v>191</v>
      </c>
      <c r="C13" s="8" t="s">
        <v>326</v>
      </c>
      <c r="D13" s="8" t="s">
        <v>327</v>
      </c>
      <c r="E13" s="8" t="s">
        <v>113</v>
      </c>
      <c r="F13" s="8" t="s">
        <v>229</v>
      </c>
      <c r="G13" s="8" t="s">
        <v>230</v>
      </c>
      <c r="H13" s="8" t="s">
        <v>231</v>
      </c>
      <c r="I13" s="8" t="s">
        <v>254</v>
      </c>
      <c r="J13" s="8" t="s">
        <v>328</v>
      </c>
      <c r="K13" s="8" t="s">
        <v>329</v>
      </c>
      <c r="L13" s="8" t="s">
        <v>330</v>
      </c>
      <c r="M13" s="8" t="s">
        <v>331</v>
      </c>
      <c r="N13" s="8" t="s">
        <v>231</v>
      </c>
      <c r="O13" s="15" t="n">
        <f aca="false">IFERROR(INDEX('Sampling Guide'!$B$2:$B$20,MATCH(N13,'Sampling Guide'!$A$2:$A$20,0)),"TBD")</f>
        <v>1</v>
      </c>
      <c r="P13" s="9"/>
      <c r="Q13" s="9"/>
      <c r="R13" s="9"/>
      <c r="S13" s="9"/>
      <c r="T13" s="9"/>
    </row>
    <row r="14" customFormat="false" ht="120" hidden="false" customHeight="true" outlineLevel="0" collapsed="false">
      <c r="A14" s="14" t="s">
        <v>332</v>
      </c>
      <c r="B14" s="8" t="s">
        <v>191</v>
      </c>
      <c r="C14" s="8" t="s">
        <v>333</v>
      </c>
      <c r="D14" s="8" t="s">
        <v>334</v>
      </c>
      <c r="E14" s="8" t="s">
        <v>113</v>
      </c>
      <c r="F14" s="8" t="s">
        <v>335</v>
      </c>
      <c r="G14" s="8" t="s">
        <v>230</v>
      </c>
      <c r="H14" s="8" t="s">
        <v>305</v>
      </c>
      <c r="I14" s="8" t="s">
        <v>254</v>
      </c>
      <c r="J14" s="8" t="s">
        <v>336</v>
      </c>
      <c r="K14" s="8" t="s">
        <v>337</v>
      </c>
      <c r="L14" s="8" t="s">
        <v>292</v>
      </c>
      <c r="M14" s="8" t="s">
        <v>338</v>
      </c>
      <c r="N14" s="8" t="s">
        <v>286</v>
      </c>
      <c r="O14" s="15" t="n">
        <f aca="false">IFERROR(INDEX('Sampling Guide'!$B$2:$B$20,MATCH(N14,'Sampling Guide'!$A$2:$A$20,0)),"TBD")</f>
        <v>25</v>
      </c>
      <c r="P14" s="9"/>
      <c r="Q14" s="9"/>
      <c r="R14" s="9"/>
      <c r="S14" s="9"/>
      <c r="T14" s="9"/>
    </row>
    <row r="15" customFormat="false" ht="120" hidden="false" customHeight="true" outlineLevel="0" collapsed="false">
      <c r="A15" s="14" t="s">
        <v>339</v>
      </c>
      <c r="B15" s="8" t="s">
        <v>192</v>
      </c>
      <c r="C15" s="8" t="s">
        <v>340</v>
      </c>
      <c r="D15" s="8" t="s">
        <v>341</v>
      </c>
      <c r="E15" s="8" t="s">
        <v>172</v>
      </c>
      <c r="F15" s="8" t="s">
        <v>244</v>
      </c>
      <c r="G15" s="8" t="s">
        <v>230</v>
      </c>
      <c r="H15" s="8" t="s">
        <v>231</v>
      </c>
      <c r="I15" s="8" t="s">
        <v>232</v>
      </c>
      <c r="J15" s="8" t="s">
        <v>342</v>
      </c>
      <c r="K15" s="8" t="s">
        <v>343</v>
      </c>
      <c r="L15" s="8" t="s">
        <v>344</v>
      </c>
      <c r="M15" s="8" t="s">
        <v>345</v>
      </c>
      <c r="N15" s="8" t="s">
        <v>231</v>
      </c>
      <c r="O15" s="15" t="n">
        <f aca="false">IFERROR(INDEX('Sampling Guide'!$B$2:$B$20,MATCH(N15,'Sampling Guide'!$A$2:$A$20,0)),"TBD")</f>
        <v>1</v>
      </c>
      <c r="P15" s="9"/>
      <c r="Q15" s="9"/>
      <c r="R15" s="9"/>
      <c r="S15" s="9"/>
      <c r="T15" s="9"/>
    </row>
    <row r="16" customFormat="false" ht="120" hidden="false" customHeight="true" outlineLevel="0" collapsed="false">
      <c r="A16" s="14" t="s">
        <v>346</v>
      </c>
      <c r="B16" s="8" t="s">
        <v>192</v>
      </c>
      <c r="C16" s="8" t="s">
        <v>347</v>
      </c>
      <c r="D16" s="8" t="s">
        <v>348</v>
      </c>
      <c r="E16" s="8" t="s">
        <v>172</v>
      </c>
      <c r="F16" s="8" t="s">
        <v>229</v>
      </c>
      <c r="G16" s="8" t="s">
        <v>230</v>
      </c>
      <c r="H16" s="8" t="s">
        <v>231</v>
      </c>
      <c r="I16" s="8" t="s">
        <v>232</v>
      </c>
      <c r="J16" s="8" t="s">
        <v>349</v>
      </c>
      <c r="K16" s="8" t="s">
        <v>350</v>
      </c>
      <c r="L16" s="8" t="s">
        <v>292</v>
      </c>
      <c r="M16" s="8" t="s">
        <v>351</v>
      </c>
      <c r="N16" s="8" t="s">
        <v>231</v>
      </c>
      <c r="O16" s="15" t="n">
        <f aca="false">IFERROR(INDEX('Sampling Guide'!$B$2:$B$20,MATCH(N16,'Sampling Guide'!$A$2:$A$20,0)),"TBD")</f>
        <v>1</v>
      </c>
      <c r="P16" s="9"/>
      <c r="Q16" s="9"/>
      <c r="R16" s="9"/>
      <c r="S16" s="9"/>
      <c r="T16" s="9"/>
    </row>
    <row r="17" customFormat="false" ht="120" hidden="false" customHeight="true" outlineLevel="0" collapsed="false">
      <c r="A17" s="14" t="s">
        <v>352</v>
      </c>
      <c r="B17" s="8" t="s">
        <v>192</v>
      </c>
      <c r="C17" s="8" t="s">
        <v>353</v>
      </c>
      <c r="D17" s="8" t="s">
        <v>354</v>
      </c>
      <c r="E17" s="8" t="s">
        <v>262</v>
      </c>
      <c r="F17" s="8" t="s">
        <v>229</v>
      </c>
      <c r="G17" s="8" t="s">
        <v>230</v>
      </c>
      <c r="H17" s="8" t="s">
        <v>305</v>
      </c>
      <c r="I17" s="8" t="s">
        <v>232</v>
      </c>
      <c r="J17" s="8" t="s">
        <v>355</v>
      </c>
      <c r="K17" s="8" t="s">
        <v>356</v>
      </c>
      <c r="L17" s="8" t="s">
        <v>357</v>
      </c>
      <c r="M17" s="8" t="s">
        <v>358</v>
      </c>
      <c r="N17" s="8" t="s">
        <v>286</v>
      </c>
      <c r="O17" s="15" t="n">
        <f aca="false">IFERROR(INDEX('Sampling Guide'!$B$2:$B$20,MATCH(N17,'Sampling Guide'!$A$2:$A$20,0)),"TBD")</f>
        <v>25</v>
      </c>
      <c r="P17" s="9"/>
      <c r="Q17" s="9" t="s">
        <v>359</v>
      </c>
      <c r="R17" s="9"/>
      <c r="S17" s="9"/>
      <c r="T17" s="9"/>
    </row>
    <row r="18" customFormat="false" ht="120" hidden="false" customHeight="true" outlineLevel="0" collapsed="false">
      <c r="A18" s="14" t="s">
        <v>360</v>
      </c>
      <c r="B18" s="8" t="s">
        <v>192</v>
      </c>
      <c r="C18" s="8" t="s">
        <v>361</v>
      </c>
      <c r="D18" s="8" t="s">
        <v>362</v>
      </c>
      <c r="E18" s="8" t="s">
        <v>172</v>
      </c>
      <c r="F18" s="8" t="s">
        <v>335</v>
      </c>
      <c r="G18" s="8" t="s">
        <v>230</v>
      </c>
      <c r="H18" s="8" t="s">
        <v>231</v>
      </c>
      <c r="I18" s="8" t="s">
        <v>363</v>
      </c>
      <c r="J18" s="8" t="s">
        <v>364</v>
      </c>
      <c r="K18" s="8" t="s">
        <v>365</v>
      </c>
      <c r="L18" s="8" t="s">
        <v>292</v>
      </c>
      <c r="M18" s="8" t="s">
        <v>366</v>
      </c>
      <c r="N18" s="8" t="s">
        <v>231</v>
      </c>
      <c r="O18" s="15" t="n">
        <f aca="false">IFERROR(INDEX('Sampling Guide'!$B$2:$B$20,MATCH(N18,'Sampling Guide'!$A$2:$A$20,0)),"TBD")</f>
        <v>1</v>
      </c>
      <c r="P18" s="9"/>
      <c r="Q18" s="9"/>
      <c r="R18" s="9"/>
      <c r="S18" s="9"/>
      <c r="T18" s="9"/>
    </row>
    <row r="19" customFormat="false" ht="120" hidden="false" customHeight="true" outlineLevel="0" collapsed="false">
      <c r="A19" s="14" t="s">
        <v>367</v>
      </c>
      <c r="B19" s="8" t="s">
        <v>193</v>
      </c>
      <c r="C19" s="8" t="s">
        <v>368</v>
      </c>
      <c r="D19" s="8" t="s">
        <v>369</v>
      </c>
      <c r="E19" s="8" t="s">
        <v>172</v>
      </c>
      <c r="F19" s="8" t="s">
        <v>229</v>
      </c>
      <c r="G19" s="8" t="s">
        <v>230</v>
      </c>
      <c r="H19" s="8" t="s">
        <v>370</v>
      </c>
      <c r="I19" s="8" t="s">
        <v>272</v>
      </c>
      <c r="J19" s="8" t="s">
        <v>371</v>
      </c>
      <c r="K19" s="8" t="s">
        <v>372</v>
      </c>
      <c r="L19" s="8" t="s">
        <v>373</v>
      </c>
      <c r="M19" s="8" t="s">
        <v>374</v>
      </c>
      <c r="N19" s="8" t="s">
        <v>286</v>
      </c>
      <c r="O19" s="15" t="n">
        <f aca="false">IFERROR(INDEX('Sampling Guide'!$B$2:$B$20,MATCH(N19,'Sampling Guide'!$A$2:$A$20,0)),"TBD")</f>
        <v>25</v>
      </c>
      <c r="P19" s="9"/>
      <c r="Q19" s="9"/>
      <c r="R19" s="9"/>
      <c r="S19" s="9"/>
      <c r="T19" s="9"/>
    </row>
    <row r="20" customFormat="false" ht="120" hidden="false" customHeight="true" outlineLevel="0" collapsed="false">
      <c r="A20" s="14" t="s">
        <v>375</v>
      </c>
      <c r="B20" s="8" t="s">
        <v>193</v>
      </c>
      <c r="C20" s="8" t="s">
        <v>376</v>
      </c>
      <c r="D20" s="8" t="s">
        <v>377</v>
      </c>
      <c r="E20" s="8" t="s">
        <v>172</v>
      </c>
      <c r="F20" s="8" t="s">
        <v>244</v>
      </c>
      <c r="G20" s="8" t="s">
        <v>230</v>
      </c>
      <c r="H20" s="8" t="s">
        <v>313</v>
      </c>
      <c r="I20" s="8" t="s">
        <v>272</v>
      </c>
      <c r="J20" s="8" t="s">
        <v>378</v>
      </c>
      <c r="K20" s="8" t="s">
        <v>379</v>
      </c>
      <c r="L20" s="8" t="s">
        <v>380</v>
      </c>
      <c r="M20" s="8" t="s">
        <v>381</v>
      </c>
      <c r="N20" s="8" t="s">
        <v>286</v>
      </c>
      <c r="O20" s="15" t="n">
        <f aca="false">IFERROR(INDEX('Sampling Guide'!$B$2:$B$20,MATCH(N20,'Sampling Guide'!$A$2:$A$20,0)),"TBD")</f>
        <v>25</v>
      </c>
      <c r="P20" s="9"/>
      <c r="Q20" s="9" t="s">
        <v>382</v>
      </c>
      <c r="R20" s="9"/>
      <c r="S20" s="9"/>
      <c r="T20" s="9"/>
    </row>
    <row r="21" customFormat="false" ht="120" hidden="false" customHeight="true" outlineLevel="0" collapsed="false">
      <c r="A21" s="14" t="s">
        <v>383</v>
      </c>
      <c r="B21" s="8" t="s">
        <v>193</v>
      </c>
      <c r="C21" s="8" t="s">
        <v>384</v>
      </c>
      <c r="D21" s="8" t="s">
        <v>385</v>
      </c>
      <c r="E21" s="8" t="s">
        <v>172</v>
      </c>
      <c r="F21" s="8" t="s">
        <v>229</v>
      </c>
      <c r="G21" s="8" t="s">
        <v>230</v>
      </c>
      <c r="H21" s="8" t="s">
        <v>305</v>
      </c>
      <c r="I21" s="8" t="s">
        <v>281</v>
      </c>
      <c r="J21" s="8" t="s">
        <v>371</v>
      </c>
      <c r="K21" s="8" t="s">
        <v>386</v>
      </c>
      <c r="L21" s="8" t="s">
        <v>292</v>
      </c>
      <c r="M21" s="8" t="s">
        <v>387</v>
      </c>
      <c r="N21" s="8" t="s">
        <v>286</v>
      </c>
      <c r="O21" s="15" t="n">
        <f aca="false">IFERROR(INDEX('Sampling Guide'!$B$2:$B$20,MATCH(N21,'Sampling Guide'!$A$2:$A$20,0)),"TBD")</f>
        <v>25</v>
      </c>
      <c r="P21" s="9"/>
      <c r="Q21" s="9"/>
      <c r="R21" s="9"/>
      <c r="S21" s="9"/>
      <c r="T21" s="9"/>
    </row>
    <row r="22" customFormat="false" ht="120" hidden="false" customHeight="true" outlineLevel="0" collapsed="false">
      <c r="A22" s="14" t="s">
        <v>388</v>
      </c>
      <c r="B22" s="8" t="s">
        <v>194</v>
      </c>
      <c r="C22" s="8" t="s">
        <v>389</v>
      </c>
      <c r="D22" s="8" t="s">
        <v>390</v>
      </c>
      <c r="E22" s="8" t="s">
        <v>391</v>
      </c>
      <c r="F22" s="8" t="s">
        <v>229</v>
      </c>
      <c r="G22" s="8" t="s">
        <v>392</v>
      </c>
      <c r="H22" s="8" t="s">
        <v>393</v>
      </c>
      <c r="I22" s="8" t="s">
        <v>394</v>
      </c>
      <c r="J22" s="8" t="s">
        <v>395</v>
      </c>
      <c r="K22" s="8" t="s">
        <v>396</v>
      </c>
      <c r="L22" s="8" t="s">
        <v>397</v>
      </c>
      <c r="M22" s="8" t="s">
        <v>398</v>
      </c>
      <c r="N22" s="8" t="s">
        <v>399</v>
      </c>
      <c r="O22" s="15" t="n">
        <f aca="false">IFERROR(INDEX('Sampling Guide'!$B$2:$B$20,MATCH(N22,'Sampling Guide'!$A$2:$A$20,0)),"TBD")</f>
        <v>1</v>
      </c>
      <c r="P22" s="9"/>
      <c r="Q22" s="9" t="s">
        <v>400</v>
      </c>
      <c r="R22" s="9"/>
      <c r="S22" s="9"/>
      <c r="T22" s="9"/>
    </row>
    <row r="23" customFormat="false" ht="120" hidden="false" customHeight="true" outlineLevel="0" collapsed="false">
      <c r="A23" s="14" t="s">
        <v>401</v>
      </c>
      <c r="B23" s="8" t="s">
        <v>194</v>
      </c>
      <c r="C23" s="8" t="s">
        <v>402</v>
      </c>
      <c r="D23" s="8" t="s">
        <v>403</v>
      </c>
      <c r="E23" s="8" t="s">
        <v>404</v>
      </c>
      <c r="F23" s="8" t="s">
        <v>229</v>
      </c>
      <c r="G23" s="8" t="s">
        <v>392</v>
      </c>
      <c r="H23" s="8" t="s">
        <v>305</v>
      </c>
      <c r="I23" s="8" t="s">
        <v>394</v>
      </c>
      <c r="J23" s="8" t="s">
        <v>405</v>
      </c>
      <c r="K23" s="8" t="s">
        <v>406</v>
      </c>
      <c r="L23" s="8" t="s">
        <v>407</v>
      </c>
      <c r="M23" s="8" t="s">
        <v>408</v>
      </c>
      <c r="N23" s="8" t="s">
        <v>286</v>
      </c>
      <c r="O23" s="15" t="n">
        <f aca="false">IFERROR(INDEX('Sampling Guide'!$B$2:$B$20,MATCH(N23,'Sampling Guide'!$A$2:$A$20,0)),"TBD")</f>
        <v>25</v>
      </c>
      <c r="P23" s="9"/>
      <c r="Q23" s="9" t="s">
        <v>409</v>
      </c>
      <c r="R23" s="9"/>
      <c r="S23" s="9"/>
      <c r="T23" s="9"/>
    </row>
    <row r="24" customFormat="false" ht="120" hidden="false" customHeight="true" outlineLevel="0" collapsed="false">
      <c r="A24" s="14" t="s">
        <v>410</v>
      </c>
      <c r="B24" s="8" t="s">
        <v>194</v>
      </c>
      <c r="C24" s="8" t="s">
        <v>411</v>
      </c>
      <c r="D24" s="8" t="s">
        <v>412</v>
      </c>
      <c r="E24" s="8" t="s">
        <v>413</v>
      </c>
      <c r="F24" s="8" t="s">
        <v>229</v>
      </c>
      <c r="G24" s="8" t="s">
        <v>392</v>
      </c>
      <c r="H24" s="8" t="s">
        <v>305</v>
      </c>
      <c r="I24" s="8" t="s">
        <v>394</v>
      </c>
      <c r="J24" s="8" t="s">
        <v>405</v>
      </c>
      <c r="K24" s="8" t="s">
        <v>414</v>
      </c>
      <c r="L24" s="8" t="s">
        <v>415</v>
      </c>
      <c r="M24" s="8" t="s">
        <v>416</v>
      </c>
      <c r="N24" s="8" t="s">
        <v>286</v>
      </c>
      <c r="O24" s="15" t="n">
        <f aca="false">IFERROR(INDEX('Sampling Guide'!$B$2:$B$20,MATCH(N24,'Sampling Guide'!$A$2:$A$20,0)),"TBD")</f>
        <v>25</v>
      </c>
      <c r="P24" s="9"/>
      <c r="Q24" s="9" t="s">
        <v>417</v>
      </c>
      <c r="R24" s="9"/>
      <c r="S24" s="9"/>
      <c r="T24" s="9"/>
    </row>
    <row r="25" customFormat="false" ht="120" hidden="false" customHeight="true" outlineLevel="0" collapsed="false">
      <c r="A25" s="14" t="s">
        <v>418</v>
      </c>
      <c r="B25" s="8" t="s">
        <v>194</v>
      </c>
      <c r="C25" s="8" t="s">
        <v>419</v>
      </c>
      <c r="D25" s="8" t="s">
        <v>420</v>
      </c>
      <c r="E25" s="8" t="s">
        <v>421</v>
      </c>
      <c r="F25" s="8" t="s">
        <v>244</v>
      </c>
      <c r="G25" s="8" t="s">
        <v>253</v>
      </c>
      <c r="H25" s="8" t="s">
        <v>263</v>
      </c>
      <c r="I25" s="8" t="s">
        <v>422</v>
      </c>
      <c r="J25" s="8" t="s">
        <v>423</v>
      </c>
      <c r="K25" s="8" t="s">
        <v>424</v>
      </c>
      <c r="L25" s="8" t="s">
        <v>425</v>
      </c>
      <c r="M25" s="8" t="s">
        <v>426</v>
      </c>
      <c r="N25" s="8" t="s">
        <v>263</v>
      </c>
      <c r="O25" s="15" t="n">
        <f aca="false">IFERROR(INDEX('Sampling Guide'!$B$2:$B$20,MATCH(N25,'Sampling Guide'!$A$2:$A$20,0)),"TBD")</f>
        <v>2</v>
      </c>
      <c r="P25" s="9"/>
      <c r="Q25" s="9" t="s">
        <v>427</v>
      </c>
      <c r="R25" s="9"/>
      <c r="S25" s="9"/>
      <c r="T25" s="9"/>
    </row>
    <row r="26" customFormat="false" ht="120" hidden="false" customHeight="true" outlineLevel="0" collapsed="false">
      <c r="A26" s="14" t="s">
        <v>428</v>
      </c>
      <c r="B26" s="8" t="s">
        <v>194</v>
      </c>
      <c r="C26" s="8" t="s">
        <v>429</v>
      </c>
      <c r="D26" s="8" t="s">
        <v>430</v>
      </c>
      <c r="E26" s="8" t="s">
        <v>431</v>
      </c>
      <c r="F26" s="8" t="s">
        <v>229</v>
      </c>
      <c r="G26" s="8" t="s">
        <v>392</v>
      </c>
      <c r="H26" s="8" t="s">
        <v>393</v>
      </c>
      <c r="I26" s="8" t="s">
        <v>432</v>
      </c>
      <c r="J26" s="8" t="s">
        <v>433</v>
      </c>
      <c r="K26" s="8" t="s">
        <v>434</v>
      </c>
      <c r="L26" s="8" t="s">
        <v>435</v>
      </c>
      <c r="M26" s="8" t="s">
        <v>436</v>
      </c>
      <c r="N26" s="8" t="s">
        <v>399</v>
      </c>
      <c r="O26" s="15" t="n">
        <f aca="false">IFERROR(INDEX('Sampling Guide'!$B$2:$B$20,MATCH(N26,'Sampling Guide'!$A$2:$A$20,0)),"TBD")</f>
        <v>1</v>
      </c>
      <c r="P26" s="9"/>
      <c r="Q26" s="9" t="s">
        <v>437</v>
      </c>
      <c r="R26" s="9"/>
      <c r="S26" s="9"/>
      <c r="T26" s="9"/>
    </row>
    <row r="27" customFormat="false" ht="120" hidden="false" customHeight="true" outlineLevel="0" collapsed="false">
      <c r="A27" s="14" t="s">
        <v>111</v>
      </c>
      <c r="B27" s="8" t="s">
        <v>194</v>
      </c>
      <c r="C27" s="8" t="s">
        <v>438</v>
      </c>
      <c r="D27" s="8" t="s">
        <v>439</v>
      </c>
      <c r="E27" s="8" t="s">
        <v>440</v>
      </c>
      <c r="F27" s="8" t="s">
        <v>229</v>
      </c>
      <c r="G27" s="8" t="s">
        <v>392</v>
      </c>
      <c r="H27" s="8" t="s">
        <v>305</v>
      </c>
      <c r="I27" s="8" t="s">
        <v>432</v>
      </c>
      <c r="J27" s="8" t="s">
        <v>441</v>
      </c>
      <c r="K27" s="8" t="s">
        <v>442</v>
      </c>
      <c r="L27" s="8" t="s">
        <v>443</v>
      </c>
      <c r="M27" s="8" t="s">
        <v>444</v>
      </c>
      <c r="N27" s="8" t="s">
        <v>286</v>
      </c>
      <c r="O27" s="15" t="n">
        <f aca="false">IFERROR(INDEX('Sampling Guide'!$B$2:$B$20,MATCH(N27,'Sampling Guide'!$A$2:$A$20,0)),"TBD")</f>
        <v>25</v>
      </c>
      <c r="P27" s="9"/>
      <c r="Q27" s="9"/>
      <c r="R27" s="9"/>
      <c r="S27" s="9"/>
      <c r="T27" s="9"/>
    </row>
    <row r="28" customFormat="false" ht="120" hidden="false" customHeight="true" outlineLevel="0" collapsed="false">
      <c r="A28" s="14" t="s">
        <v>445</v>
      </c>
      <c r="B28" s="8" t="s">
        <v>194</v>
      </c>
      <c r="C28" s="8" t="s">
        <v>446</v>
      </c>
      <c r="D28" s="8" t="s">
        <v>447</v>
      </c>
      <c r="E28" s="8" t="s">
        <v>448</v>
      </c>
      <c r="F28" s="8" t="s">
        <v>229</v>
      </c>
      <c r="G28" s="8" t="s">
        <v>392</v>
      </c>
      <c r="H28" s="8" t="s">
        <v>393</v>
      </c>
      <c r="I28" s="8" t="s">
        <v>449</v>
      </c>
      <c r="J28" s="8" t="s">
        <v>395</v>
      </c>
      <c r="K28" s="8" t="s">
        <v>450</v>
      </c>
      <c r="L28" s="8" t="s">
        <v>451</v>
      </c>
      <c r="M28" s="8" t="s">
        <v>452</v>
      </c>
      <c r="N28" s="8" t="s">
        <v>399</v>
      </c>
      <c r="O28" s="15" t="n">
        <f aca="false">IFERROR(INDEX('Sampling Guide'!$B$2:$B$20,MATCH(N28,'Sampling Guide'!$A$2:$A$20,0)),"TBD")</f>
        <v>1</v>
      </c>
      <c r="P28" s="9"/>
      <c r="Q28" s="9" t="s">
        <v>453</v>
      </c>
      <c r="R28" s="9"/>
      <c r="S28" s="9"/>
      <c r="T28" s="9"/>
    </row>
    <row r="29" customFormat="false" ht="120" hidden="false" customHeight="true" outlineLevel="0" collapsed="false">
      <c r="A29" s="14" t="s">
        <v>454</v>
      </c>
      <c r="B29" s="8" t="s">
        <v>194</v>
      </c>
      <c r="C29" s="8" t="s">
        <v>455</v>
      </c>
      <c r="D29" s="8" t="s">
        <v>456</v>
      </c>
      <c r="E29" s="8" t="s">
        <v>102</v>
      </c>
      <c r="F29" s="8" t="s">
        <v>229</v>
      </c>
      <c r="G29" s="8" t="s">
        <v>392</v>
      </c>
      <c r="H29" s="8" t="s">
        <v>393</v>
      </c>
      <c r="I29" s="8" t="s">
        <v>394</v>
      </c>
      <c r="J29" s="8" t="s">
        <v>457</v>
      </c>
      <c r="K29" s="8" t="s">
        <v>458</v>
      </c>
      <c r="L29" s="8" t="s">
        <v>459</v>
      </c>
      <c r="M29" s="8" t="s">
        <v>460</v>
      </c>
      <c r="N29" s="8" t="s">
        <v>399</v>
      </c>
      <c r="O29" s="15" t="n">
        <f aca="false">IFERROR(INDEX('Sampling Guide'!$B$2:$B$20,MATCH(N29,'Sampling Guide'!$A$2:$A$20,0)),"TBD")</f>
        <v>1</v>
      </c>
      <c r="P29" s="9"/>
      <c r="Q29" s="9"/>
      <c r="R29" s="9"/>
      <c r="S29" s="9"/>
      <c r="T29" s="9"/>
    </row>
    <row r="30" customFormat="false" ht="120" hidden="false" customHeight="true" outlineLevel="0" collapsed="false">
      <c r="A30" s="14" t="s">
        <v>461</v>
      </c>
      <c r="B30" s="8" t="s">
        <v>194</v>
      </c>
      <c r="C30" s="8" t="s">
        <v>462</v>
      </c>
      <c r="D30" s="8" t="s">
        <v>463</v>
      </c>
      <c r="E30" s="8" t="s">
        <v>464</v>
      </c>
      <c r="F30" s="8" t="s">
        <v>244</v>
      </c>
      <c r="G30" s="8" t="s">
        <v>392</v>
      </c>
      <c r="H30" s="8" t="s">
        <v>305</v>
      </c>
      <c r="I30" s="8" t="s">
        <v>232</v>
      </c>
      <c r="J30" s="8" t="s">
        <v>465</v>
      </c>
      <c r="K30" s="8" t="s">
        <v>466</v>
      </c>
      <c r="L30" s="8" t="s">
        <v>467</v>
      </c>
      <c r="M30" s="8" t="s">
        <v>468</v>
      </c>
      <c r="N30" s="8" t="s">
        <v>286</v>
      </c>
      <c r="O30" s="15" t="n">
        <f aca="false">IFERROR(INDEX('Sampling Guide'!$B$2:$B$20,MATCH(N30,'Sampling Guide'!$A$2:$A$20,0)),"TBD")</f>
        <v>25</v>
      </c>
      <c r="P30" s="9"/>
      <c r="Q30" s="9" t="s">
        <v>469</v>
      </c>
      <c r="R30" s="9"/>
      <c r="S30" s="9"/>
      <c r="T30" s="9"/>
    </row>
    <row r="31" customFormat="false" ht="120" hidden="false" customHeight="true" outlineLevel="0" collapsed="false">
      <c r="A31" s="14" t="s">
        <v>470</v>
      </c>
      <c r="B31" s="8" t="s">
        <v>195</v>
      </c>
      <c r="C31" s="8" t="s">
        <v>471</v>
      </c>
      <c r="D31" s="8" t="s">
        <v>472</v>
      </c>
      <c r="E31" s="8" t="s">
        <v>66</v>
      </c>
      <c r="F31" s="8" t="s">
        <v>229</v>
      </c>
      <c r="G31" s="8" t="s">
        <v>392</v>
      </c>
      <c r="H31" s="8" t="s">
        <v>393</v>
      </c>
      <c r="I31" s="8" t="s">
        <v>432</v>
      </c>
      <c r="J31" s="8" t="s">
        <v>473</v>
      </c>
      <c r="K31" s="8" t="s">
        <v>474</v>
      </c>
      <c r="L31" s="8" t="s">
        <v>475</v>
      </c>
      <c r="M31" s="8" t="s">
        <v>476</v>
      </c>
      <c r="N31" s="8" t="s">
        <v>399</v>
      </c>
      <c r="O31" s="15" t="n">
        <f aca="false">IFERROR(INDEX('Sampling Guide'!$B$2:$B$20,MATCH(N31,'Sampling Guide'!$A$2:$A$20,0)),"TBD")</f>
        <v>1</v>
      </c>
      <c r="P31" s="9"/>
      <c r="Q31" s="9" t="s">
        <v>477</v>
      </c>
      <c r="R31" s="9"/>
      <c r="S31" s="9"/>
      <c r="T31" s="9"/>
    </row>
    <row r="32" customFormat="false" ht="120" hidden="false" customHeight="true" outlineLevel="0" collapsed="false">
      <c r="A32" s="14" t="s">
        <v>478</v>
      </c>
      <c r="B32" s="8" t="s">
        <v>195</v>
      </c>
      <c r="C32" s="8" t="s">
        <v>479</v>
      </c>
      <c r="D32" s="8" t="s">
        <v>480</v>
      </c>
      <c r="E32" s="8" t="s">
        <v>66</v>
      </c>
      <c r="F32" s="8" t="s">
        <v>229</v>
      </c>
      <c r="G32" s="8" t="s">
        <v>392</v>
      </c>
      <c r="H32" s="8" t="s">
        <v>305</v>
      </c>
      <c r="I32" s="8" t="s">
        <v>432</v>
      </c>
      <c r="J32" s="8" t="s">
        <v>481</v>
      </c>
      <c r="K32" s="8" t="s">
        <v>482</v>
      </c>
      <c r="L32" s="8" t="s">
        <v>483</v>
      </c>
      <c r="M32" s="8" t="s">
        <v>476</v>
      </c>
      <c r="N32" s="8" t="s">
        <v>286</v>
      </c>
      <c r="O32" s="15" t="n">
        <f aca="false">IFERROR(INDEX('Sampling Guide'!$B$2:$B$20,MATCH(N32,'Sampling Guide'!$A$2:$A$20,0)),"TBD")</f>
        <v>25</v>
      </c>
      <c r="P32" s="9"/>
      <c r="Q32" s="9" t="s">
        <v>484</v>
      </c>
      <c r="R32" s="9"/>
      <c r="S32" s="9"/>
      <c r="T32" s="9"/>
    </row>
    <row r="33" customFormat="false" ht="120" hidden="false" customHeight="true" outlineLevel="0" collapsed="false">
      <c r="A33" s="14" t="s">
        <v>485</v>
      </c>
      <c r="B33" s="8" t="s">
        <v>195</v>
      </c>
      <c r="C33" s="8" t="s">
        <v>486</v>
      </c>
      <c r="D33" s="8" t="s">
        <v>487</v>
      </c>
      <c r="E33" s="8" t="s">
        <v>488</v>
      </c>
      <c r="F33" s="8" t="s">
        <v>229</v>
      </c>
      <c r="G33" s="8" t="s">
        <v>392</v>
      </c>
      <c r="H33" s="8" t="s">
        <v>305</v>
      </c>
      <c r="I33" s="8" t="s">
        <v>432</v>
      </c>
      <c r="J33" s="8" t="s">
        <v>481</v>
      </c>
      <c r="K33" s="8" t="s">
        <v>489</v>
      </c>
      <c r="L33" s="8" t="s">
        <v>490</v>
      </c>
      <c r="M33" s="8" t="s">
        <v>491</v>
      </c>
      <c r="N33" s="8" t="s">
        <v>286</v>
      </c>
      <c r="O33" s="15" t="n">
        <f aca="false">IFERROR(INDEX('Sampling Guide'!$B$2:$B$20,MATCH(N33,'Sampling Guide'!$A$2:$A$20,0)),"TBD")</f>
        <v>25</v>
      </c>
      <c r="P33" s="9"/>
      <c r="Q33" s="9" t="s">
        <v>492</v>
      </c>
      <c r="R33" s="9"/>
      <c r="S33" s="9"/>
      <c r="T33" s="9"/>
    </row>
    <row r="34" customFormat="false" ht="120" hidden="false" customHeight="true" outlineLevel="0" collapsed="false">
      <c r="A34" s="14" t="s">
        <v>493</v>
      </c>
      <c r="B34" s="8" t="s">
        <v>195</v>
      </c>
      <c r="C34" s="8" t="s">
        <v>494</v>
      </c>
      <c r="D34" s="8" t="s">
        <v>495</v>
      </c>
      <c r="E34" s="8" t="s">
        <v>496</v>
      </c>
      <c r="F34" s="8" t="s">
        <v>229</v>
      </c>
      <c r="G34" s="8" t="s">
        <v>392</v>
      </c>
      <c r="H34" s="8" t="s">
        <v>305</v>
      </c>
      <c r="I34" s="8" t="s">
        <v>497</v>
      </c>
      <c r="J34" s="8" t="s">
        <v>498</v>
      </c>
      <c r="K34" s="8" t="s">
        <v>499</v>
      </c>
      <c r="L34" s="8" t="s">
        <v>500</v>
      </c>
      <c r="M34" s="8" t="s">
        <v>501</v>
      </c>
      <c r="N34" s="8" t="s">
        <v>286</v>
      </c>
      <c r="O34" s="15" t="n">
        <f aca="false">IFERROR(INDEX('Sampling Guide'!$B$2:$B$20,MATCH(N34,'Sampling Guide'!$A$2:$A$20,0)),"TBD")</f>
        <v>25</v>
      </c>
      <c r="P34" s="9"/>
      <c r="Q34" s="9" t="s">
        <v>502</v>
      </c>
      <c r="R34" s="9"/>
      <c r="S34" s="9"/>
      <c r="T34" s="9"/>
    </row>
    <row r="35" customFormat="false" ht="120" hidden="false" customHeight="true" outlineLevel="0" collapsed="false">
      <c r="A35" s="14" t="s">
        <v>89</v>
      </c>
      <c r="B35" s="8" t="s">
        <v>195</v>
      </c>
      <c r="C35" s="8" t="s">
        <v>503</v>
      </c>
      <c r="D35" s="8" t="s">
        <v>504</v>
      </c>
      <c r="E35" s="8" t="s">
        <v>505</v>
      </c>
      <c r="F35" s="8" t="s">
        <v>229</v>
      </c>
      <c r="G35" s="8" t="s">
        <v>392</v>
      </c>
      <c r="H35" s="8" t="s">
        <v>393</v>
      </c>
      <c r="I35" s="8" t="s">
        <v>449</v>
      </c>
      <c r="J35" s="8" t="s">
        <v>506</v>
      </c>
      <c r="K35" s="8" t="s">
        <v>507</v>
      </c>
      <c r="L35" s="8" t="s">
        <v>508</v>
      </c>
      <c r="M35" s="8" t="s">
        <v>509</v>
      </c>
      <c r="N35" s="8" t="s">
        <v>399</v>
      </c>
      <c r="O35" s="15" t="n">
        <f aca="false">IFERROR(INDEX('Sampling Guide'!$B$2:$B$20,MATCH(N35,'Sampling Guide'!$A$2:$A$20,0)),"TBD")</f>
        <v>1</v>
      </c>
      <c r="P35" s="9"/>
      <c r="Q35" s="9" t="s">
        <v>510</v>
      </c>
      <c r="R35" s="9"/>
      <c r="S35" s="9"/>
      <c r="T35" s="9"/>
    </row>
    <row r="36" customFormat="false" ht="120" hidden="false" customHeight="true" outlineLevel="0" collapsed="false">
      <c r="A36" s="14" t="s">
        <v>511</v>
      </c>
      <c r="B36" s="8" t="s">
        <v>195</v>
      </c>
      <c r="C36" s="8" t="s">
        <v>512</v>
      </c>
      <c r="D36" s="8" t="s">
        <v>513</v>
      </c>
      <c r="E36" s="8" t="s">
        <v>514</v>
      </c>
      <c r="F36" s="8" t="s">
        <v>244</v>
      </c>
      <c r="G36" s="8" t="s">
        <v>392</v>
      </c>
      <c r="H36" s="8" t="s">
        <v>305</v>
      </c>
      <c r="I36" s="8" t="s">
        <v>432</v>
      </c>
      <c r="J36" s="8" t="s">
        <v>515</v>
      </c>
      <c r="K36" s="8" t="s">
        <v>516</v>
      </c>
      <c r="L36" s="8" t="s">
        <v>517</v>
      </c>
      <c r="M36" s="8" t="s">
        <v>518</v>
      </c>
      <c r="N36" s="8" t="s">
        <v>286</v>
      </c>
      <c r="O36" s="15" t="n">
        <f aca="false">IFERROR(INDEX('Sampling Guide'!$B$2:$B$20,MATCH(N36,'Sampling Guide'!$A$2:$A$20,0)),"TBD")</f>
        <v>25</v>
      </c>
      <c r="P36" s="9"/>
      <c r="Q36" s="9" t="s">
        <v>519</v>
      </c>
      <c r="R36" s="9"/>
      <c r="S36" s="9"/>
      <c r="T36" s="9"/>
    </row>
    <row r="37" customFormat="false" ht="120" hidden="false" customHeight="true" outlineLevel="0" collapsed="false">
      <c r="A37" s="14" t="s">
        <v>86</v>
      </c>
      <c r="B37" s="8" t="s">
        <v>195</v>
      </c>
      <c r="C37" s="8" t="s">
        <v>520</v>
      </c>
      <c r="D37" s="8" t="s">
        <v>521</v>
      </c>
      <c r="E37" s="8" t="s">
        <v>522</v>
      </c>
      <c r="F37" s="8" t="s">
        <v>229</v>
      </c>
      <c r="G37" s="8" t="s">
        <v>392</v>
      </c>
      <c r="H37" s="8" t="s">
        <v>393</v>
      </c>
      <c r="I37" s="8" t="s">
        <v>449</v>
      </c>
      <c r="J37" s="8" t="s">
        <v>523</v>
      </c>
      <c r="K37" s="8" t="s">
        <v>524</v>
      </c>
      <c r="L37" s="8" t="s">
        <v>525</v>
      </c>
      <c r="M37" s="8" t="s">
        <v>526</v>
      </c>
      <c r="N37" s="8" t="s">
        <v>399</v>
      </c>
      <c r="O37" s="15" t="n">
        <f aca="false">IFERROR(INDEX('Sampling Guide'!$B$2:$B$20,MATCH(N37,'Sampling Guide'!$A$2:$A$20,0)),"TBD")</f>
        <v>1</v>
      </c>
      <c r="P37" s="9"/>
      <c r="Q37" s="9" t="s">
        <v>527</v>
      </c>
      <c r="R37" s="9"/>
      <c r="S37" s="9"/>
      <c r="T37" s="9"/>
    </row>
    <row r="38" customFormat="false" ht="120" hidden="false" customHeight="true" outlineLevel="0" collapsed="false">
      <c r="A38" s="14" t="s">
        <v>528</v>
      </c>
      <c r="B38" s="8" t="s">
        <v>195</v>
      </c>
      <c r="C38" s="8" t="s">
        <v>529</v>
      </c>
      <c r="D38" s="8" t="s">
        <v>530</v>
      </c>
      <c r="E38" s="8" t="s">
        <v>531</v>
      </c>
      <c r="F38" s="8" t="s">
        <v>229</v>
      </c>
      <c r="G38" s="8" t="s">
        <v>392</v>
      </c>
      <c r="H38" s="8" t="s">
        <v>393</v>
      </c>
      <c r="I38" s="8" t="s">
        <v>449</v>
      </c>
      <c r="J38" s="8" t="s">
        <v>532</v>
      </c>
      <c r="K38" s="8" t="s">
        <v>533</v>
      </c>
      <c r="L38" s="8" t="s">
        <v>534</v>
      </c>
      <c r="M38" s="8" t="s">
        <v>535</v>
      </c>
      <c r="N38" s="8" t="s">
        <v>399</v>
      </c>
      <c r="O38" s="15" t="n">
        <f aca="false">IFERROR(INDEX('Sampling Guide'!$B$2:$B$20,MATCH(N38,'Sampling Guide'!$A$2:$A$20,0)),"TBD")</f>
        <v>1</v>
      </c>
      <c r="P38" s="9"/>
      <c r="Q38" s="9"/>
      <c r="R38" s="9"/>
      <c r="S38" s="9"/>
      <c r="T38" s="9"/>
    </row>
    <row r="39" customFormat="false" ht="120" hidden="false" customHeight="true" outlineLevel="0" collapsed="false">
      <c r="A39" s="14" t="s">
        <v>536</v>
      </c>
      <c r="B39" s="8" t="s">
        <v>195</v>
      </c>
      <c r="C39" s="8" t="s">
        <v>537</v>
      </c>
      <c r="D39" s="8" t="s">
        <v>538</v>
      </c>
      <c r="E39" s="8" t="s">
        <v>539</v>
      </c>
      <c r="F39" s="8" t="s">
        <v>335</v>
      </c>
      <c r="G39" s="8" t="s">
        <v>253</v>
      </c>
      <c r="H39" s="8" t="s">
        <v>305</v>
      </c>
      <c r="I39" s="8" t="s">
        <v>432</v>
      </c>
      <c r="J39" s="8" t="s">
        <v>481</v>
      </c>
      <c r="K39" s="8" t="s">
        <v>540</v>
      </c>
      <c r="L39" s="8" t="s">
        <v>541</v>
      </c>
      <c r="M39" s="8" t="s">
        <v>542</v>
      </c>
      <c r="N39" s="8" t="s">
        <v>286</v>
      </c>
      <c r="O39" s="15" t="n">
        <f aca="false">IFERROR(INDEX('Sampling Guide'!$B$2:$B$20,MATCH(N39,'Sampling Guide'!$A$2:$A$20,0)),"TBD")</f>
        <v>25</v>
      </c>
      <c r="P39" s="9"/>
      <c r="Q39" s="9" t="s">
        <v>543</v>
      </c>
      <c r="R39" s="9"/>
      <c r="S39" s="9"/>
      <c r="T39" s="9"/>
    </row>
    <row r="40" customFormat="false" ht="120" hidden="false" customHeight="true" outlineLevel="0" collapsed="false">
      <c r="A40" s="14" t="s">
        <v>544</v>
      </c>
      <c r="B40" s="8" t="s">
        <v>195</v>
      </c>
      <c r="C40" s="8" t="s">
        <v>545</v>
      </c>
      <c r="D40" s="8" t="s">
        <v>546</v>
      </c>
      <c r="E40" s="8" t="s">
        <v>547</v>
      </c>
      <c r="F40" s="8" t="s">
        <v>229</v>
      </c>
      <c r="G40" s="8" t="s">
        <v>392</v>
      </c>
      <c r="H40" s="8" t="s">
        <v>305</v>
      </c>
      <c r="I40" s="8" t="s">
        <v>449</v>
      </c>
      <c r="J40" s="8" t="s">
        <v>548</v>
      </c>
      <c r="K40" s="8" t="s">
        <v>549</v>
      </c>
      <c r="L40" s="8" t="s">
        <v>550</v>
      </c>
      <c r="M40" s="8" t="s">
        <v>551</v>
      </c>
      <c r="N40" s="8" t="s">
        <v>286</v>
      </c>
      <c r="O40" s="15" t="n">
        <f aca="false">IFERROR(INDEX('Sampling Guide'!$B$2:$B$20,MATCH(N40,'Sampling Guide'!$A$2:$A$20,0)),"TBD")</f>
        <v>25</v>
      </c>
      <c r="P40" s="9"/>
      <c r="Q40" s="9" t="s">
        <v>552</v>
      </c>
      <c r="R40" s="9"/>
      <c r="S40" s="9"/>
      <c r="T40" s="9"/>
    </row>
    <row r="41" customFormat="false" ht="120" hidden="false" customHeight="true" outlineLevel="0" collapsed="false">
      <c r="A41" s="14" t="s">
        <v>83</v>
      </c>
      <c r="B41" s="8" t="s">
        <v>195</v>
      </c>
      <c r="C41" s="8" t="s">
        <v>553</v>
      </c>
      <c r="D41" s="8" t="s">
        <v>554</v>
      </c>
      <c r="E41" s="8" t="s">
        <v>555</v>
      </c>
      <c r="F41" s="8" t="s">
        <v>229</v>
      </c>
      <c r="G41" s="8" t="s">
        <v>392</v>
      </c>
      <c r="H41" s="8" t="s">
        <v>393</v>
      </c>
      <c r="I41" s="8" t="s">
        <v>449</v>
      </c>
      <c r="J41" s="8" t="s">
        <v>556</v>
      </c>
      <c r="K41" s="8" t="s">
        <v>557</v>
      </c>
      <c r="L41" s="8" t="s">
        <v>558</v>
      </c>
      <c r="M41" s="8" t="s">
        <v>559</v>
      </c>
      <c r="N41" s="8" t="s">
        <v>399</v>
      </c>
      <c r="O41" s="15" t="n">
        <f aca="false">IFERROR(INDEX('Sampling Guide'!$B$2:$B$20,MATCH(N41,'Sampling Guide'!$A$2:$A$20,0)),"TBD")</f>
        <v>1</v>
      </c>
      <c r="P41" s="9"/>
      <c r="Q41" s="9" t="s">
        <v>560</v>
      </c>
      <c r="R41" s="9"/>
      <c r="S41" s="9"/>
      <c r="T41" s="9"/>
    </row>
    <row r="42" customFormat="false" ht="120" hidden="false" customHeight="true" outlineLevel="0" collapsed="false">
      <c r="A42" s="14" t="s">
        <v>561</v>
      </c>
      <c r="B42" s="8" t="s">
        <v>195</v>
      </c>
      <c r="C42" s="8" t="s">
        <v>562</v>
      </c>
      <c r="D42" s="8" t="s">
        <v>563</v>
      </c>
      <c r="E42" s="8" t="s">
        <v>539</v>
      </c>
      <c r="F42" s="8" t="s">
        <v>229</v>
      </c>
      <c r="G42" s="8" t="s">
        <v>230</v>
      </c>
      <c r="H42" s="8" t="s">
        <v>305</v>
      </c>
      <c r="I42" s="8" t="s">
        <v>497</v>
      </c>
      <c r="J42" s="8" t="s">
        <v>564</v>
      </c>
      <c r="K42" s="8" t="s">
        <v>565</v>
      </c>
      <c r="L42" s="8" t="s">
        <v>566</v>
      </c>
      <c r="M42" s="8" t="s">
        <v>567</v>
      </c>
      <c r="N42" s="8" t="s">
        <v>286</v>
      </c>
      <c r="O42" s="15" t="n">
        <f aca="false">IFERROR(INDEX('Sampling Guide'!$B$2:$B$20,MATCH(N42,'Sampling Guide'!$A$2:$A$20,0)),"TBD")</f>
        <v>25</v>
      </c>
      <c r="P42" s="9"/>
      <c r="Q42" s="9" t="s">
        <v>568</v>
      </c>
      <c r="R42" s="9"/>
      <c r="S42" s="9"/>
      <c r="T42" s="9"/>
    </row>
    <row r="43" customFormat="false" ht="120" hidden="false" customHeight="true" outlineLevel="0" collapsed="false">
      <c r="A43" s="14" t="s">
        <v>569</v>
      </c>
      <c r="B43" s="8" t="s">
        <v>196</v>
      </c>
      <c r="C43" s="8" t="s">
        <v>570</v>
      </c>
      <c r="D43" s="8" t="s">
        <v>571</v>
      </c>
      <c r="E43" s="8" t="s">
        <v>572</v>
      </c>
      <c r="F43" s="8" t="s">
        <v>229</v>
      </c>
      <c r="G43" s="8" t="s">
        <v>392</v>
      </c>
      <c r="H43" s="8" t="s">
        <v>393</v>
      </c>
      <c r="I43" s="8" t="s">
        <v>449</v>
      </c>
      <c r="J43" s="8" t="s">
        <v>573</v>
      </c>
      <c r="K43" s="8" t="s">
        <v>574</v>
      </c>
      <c r="L43" s="8" t="s">
        <v>575</v>
      </c>
      <c r="M43" s="8" t="s">
        <v>576</v>
      </c>
      <c r="N43" s="8" t="s">
        <v>399</v>
      </c>
      <c r="O43" s="15" t="n">
        <f aca="false">IFERROR(INDEX('Sampling Guide'!$B$2:$B$20,MATCH(N43,'Sampling Guide'!$A$2:$A$20,0)),"TBD")</f>
        <v>1</v>
      </c>
      <c r="P43" s="9"/>
      <c r="Q43" s="9"/>
      <c r="R43" s="9"/>
      <c r="S43" s="9"/>
      <c r="T43" s="9"/>
    </row>
    <row r="44" customFormat="false" ht="120" hidden="false" customHeight="true" outlineLevel="0" collapsed="false">
      <c r="A44" s="14" t="s">
        <v>577</v>
      </c>
      <c r="B44" s="8" t="s">
        <v>196</v>
      </c>
      <c r="C44" s="8" t="s">
        <v>578</v>
      </c>
      <c r="D44" s="8" t="s">
        <v>579</v>
      </c>
      <c r="E44" s="8" t="s">
        <v>580</v>
      </c>
      <c r="F44" s="8" t="s">
        <v>244</v>
      </c>
      <c r="G44" s="8" t="s">
        <v>392</v>
      </c>
      <c r="H44" s="8" t="s">
        <v>393</v>
      </c>
      <c r="I44" s="8" t="s">
        <v>449</v>
      </c>
      <c r="J44" s="8" t="s">
        <v>581</v>
      </c>
      <c r="K44" s="8" t="s">
        <v>582</v>
      </c>
      <c r="L44" s="8" t="s">
        <v>583</v>
      </c>
      <c r="M44" s="8" t="s">
        <v>584</v>
      </c>
      <c r="N44" s="8" t="s">
        <v>399</v>
      </c>
      <c r="O44" s="15" t="n">
        <f aca="false">IFERROR(INDEX('Sampling Guide'!$B$2:$B$20,MATCH(N44,'Sampling Guide'!$A$2:$A$20,0)),"TBD")</f>
        <v>1</v>
      </c>
      <c r="P44" s="9"/>
      <c r="Q44" s="9"/>
      <c r="R44" s="9"/>
      <c r="S44" s="9"/>
      <c r="T44" s="9"/>
    </row>
    <row r="45" customFormat="false" ht="120" hidden="false" customHeight="true" outlineLevel="0" collapsed="false">
      <c r="A45" s="14" t="s">
        <v>585</v>
      </c>
      <c r="B45" s="8" t="s">
        <v>196</v>
      </c>
      <c r="C45" s="8" t="s">
        <v>586</v>
      </c>
      <c r="D45" s="8" t="s">
        <v>587</v>
      </c>
      <c r="E45" s="8" t="s">
        <v>588</v>
      </c>
      <c r="F45" s="8" t="s">
        <v>229</v>
      </c>
      <c r="G45" s="8" t="s">
        <v>392</v>
      </c>
      <c r="H45" s="8" t="s">
        <v>393</v>
      </c>
      <c r="I45" s="8" t="s">
        <v>449</v>
      </c>
      <c r="J45" s="8" t="s">
        <v>589</v>
      </c>
      <c r="K45" s="8" t="s">
        <v>590</v>
      </c>
      <c r="L45" s="8" t="s">
        <v>591</v>
      </c>
      <c r="M45" s="8" t="s">
        <v>592</v>
      </c>
      <c r="N45" s="8" t="s">
        <v>399</v>
      </c>
      <c r="O45" s="15" t="n">
        <f aca="false">IFERROR(INDEX('Sampling Guide'!$B$2:$B$20,MATCH(N45,'Sampling Guide'!$A$2:$A$20,0)),"TBD")</f>
        <v>1</v>
      </c>
      <c r="P45" s="9"/>
      <c r="Q45" s="9"/>
      <c r="R45" s="9"/>
      <c r="S45" s="9"/>
      <c r="T45" s="9"/>
    </row>
    <row r="46" customFormat="false" ht="120" hidden="false" customHeight="true" outlineLevel="0" collapsed="false">
      <c r="A46" s="14" t="s">
        <v>593</v>
      </c>
      <c r="B46" s="8" t="s">
        <v>196</v>
      </c>
      <c r="C46" s="8" t="s">
        <v>594</v>
      </c>
      <c r="D46" s="8" t="s">
        <v>595</v>
      </c>
      <c r="E46" s="8" t="s">
        <v>596</v>
      </c>
      <c r="F46" s="8" t="s">
        <v>229</v>
      </c>
      <c r="G46" s="8" t="s">
        <v>392</v>
      </c>
      <c r="H46" s="8" t="s">
        <v>393</v>
      </c>
      <c r="I46" s="8" t="s">
        <v>449</v>
      </c>
      <c r="J46" s="8" t="s">
        <v>597</v>
      </c>
      <c r="K46" s="8" t="s">
        <v>598</v>
      </c>
      <c r="L46" s="8" t="s">
        <v>599</v>
      </c>
      <c r="M46" s="8" t="s">
        <v>600</v>
      </c>
      <c r="N46" s="8" t="s">
        <v>399</v>
      </c>
      <c r="O46" s="15" t="n">
        <f aca="false">IFERROR(INDEX('Sampling Guide'!$B$2:$B$20,MATCH(N46,'Sampling Guide'!$A$2:$A$20,0)),"TBD")</f>
        <v>1</v>
      </c>
      <c r="P46" s="9"/>
      <c r="Q46" s="9"/>
      <c r="R46" s="9"/>
      <c r="S46" s="9"/>
      <c r="T46" s="9"/>
    </row>
    <row r="47" customFormat="false" ht="120" hidden="false" customHeight="true" outlineLevel="0" collapsed="false">
      <c r="A47" s="14" t="s">
        <v>601</v>
      </c>
      <c r="B47" s="8" t="s">
        <v>196</v>
      </c>
      <c r="C47" s="8" t="s">
        <v>602</v>
      </c>
      <c r="D47" s="8" t="s">
        <v>603</v>
      </c>
      <c r="E47" s="8" t="s">
        <v>604</v>
      </c>
      <c r="F47" s="8" t="s">
        <v>229</v>
      </c>
      <c r="G47" s="8" t="s">
        <v>392</v>
      </c>
      <c r="H47" s="8" t="s">
        <v>393</v>
      </c>
      <c r="I47" s="8" t="s">
        <v>449</v>
      </c>
      <c r="J47" s="8" t="s">
        <v>605</v>
      </c>
      <c r="K47" s="8" t="s">
        <v>606</v>
      </c>
      <c r="L47" s="8" t="s">
        <v>607</v>
      </c>
      <c r="M47" s="8" t="s">
        <v>608</v>
      </c>
      <c r="N47" s="8" t="s">
        <v>399</v>
      </c>
      <c r="O47" s="15" t="n">
        <f aca="false">IFERROR(INDEX('Sampling Guide'!$B$2:$B$20,MATCH(N47,'Sampling Guide'!$A$2:$A$20,0)),"TBD")</f>
        <v>1</v>
      </c>
      <c r="P47" s="9"/>
      <c r="Q47" s="9"/>
      <c r="R47" s="9"/>
      <c r="S47" s="9"/>
      <c r="T47" s="9"/>
    </row>
    <row r="48" customFormat="false" ht="120" hidden="false" customHeight="true" outlineLevel="0" collapsed="false">
      <c r="A48" s="14" t="s">
        <v>609</v>
      </c>
      <c r="B48" s="8" t="s">
        <v>196</v>
      </c>
      <c r="C48" s="8" t="s">
        <v>610</v>
      </c>
      <c r="D48" s="8" t="s">
        <v>611</v>
      </c>
      <c r="E48" s="8" t="s">
        <v>612</v>
      </c>
      <c r="F48" s="8" t="s">
        <v>229</v>
      </c>
      <c r="G48" s="8" t="s">
        <v>392</v>
      </c>
      <c r="H48" s="8" t="s">
        <v>393</v>
      </c>
      <c r="I48" s="8" t="s">
        <v>449</v>
      </c>
      <c r="J48" s="8" t="s">
        <v>605</v>
      </c>
      <c r="K48" s="8" t="s">
        <v>613</v>
      </c>
      <c r="L48" s="8" t="s">
        <v>614</v>
      </c>
      <c r="M48" s="8" t="s">
        <v>615</v>
      </c>
      <c r="N48" s="8" t="s">
        <v>399</v>
      </c>
      <c r="O48" s="15" t="n">
        <f aca="false">IFERROR(INDEX('Sampling Guide'!$B$2:$B$20,MATCH(N48,'Sampling Guide'!$A$2:$A$20,0)),"TBD")</f>
        <v>1</v>
      </c>
      <c r="P48" s="9"/>
      <c r="Q48" s="9" t="s">
        <v>616</v>
      </c>
      <c r="R48" s="9"/>
      <c r="S48" s="9"/>
      <c r="T48" s="9"/>
    </row>
    <row r="49" customFormat="false" ht="120" hidden="false" customHeight="true" outlineLevel="0" collapsed="false">
      <c r="A49" s="14" t="s">
        <v>617</v>
      </c>
      <c r="B49" s="8" t="s">
        <v>196</v>
      </c>
      <c r="C49" s="8" t="s">
        <v>618</v>
      </c>
      <c r="D49" s="8" t="s">
        <v>619</v>
      </c>
      <c r="E49" s="8" t="s">
        <v>620</v>
      </c>
      <c r="F49" s="8" t="s">
        <v>244</v>
      </c>
      <c r="G49" s="8" t="s">
        <v>392</v>
      </c>
      <c r="H49" s="8" t="s">
        <v>621</v>
      </c>
      <c r="I49" s="8" t="s">
        <v>622</v>
      </c>
      <c r="J49" s="8" t="s">
        <v>623</v>
      </c>
      <c r="K49" s="8" t="s">
        <v>624</v>
      </c>
      <c r="L49" s="8" t="s">
        <v>625</v>
      </c>
      <c r="M49" s="8" t="s">
        <v>626</v>
      </c>
      <c r="N49" s="8" t="s">
        <v>399</v>
      </c>
      <c r="O49" s="15" t="n">
        <f aca="false">IFERROR(INDEX('Sampling Guide'!$B$2:$B$20,MATCH(N49,'Sampling Guide'!$A$2:$A$20,0)),"TBD")</f>
        <v>1</v>
      </c>
      <c r="P49" s="9"/>
      <c r="Q49" s="9"/>
      <c r="R49" s="9"/>
      <c r="S49" s="9"/>
      <c r="T49" s="9"/>
    </row>
    <row r="50" customFormat="false" ht="120" hidden="false" customHeight="true" outlineLevel="0" collapsed="false">
      <c r="A50" s="14" t="s">
        <v>164</v>
      </c>
      <c r="B50" s="8" t="s">
        <v>196</v>
      </c>
      <c r="C50" s="8" t="s">
        <v>627</v>
      </c>
      <c r="D50" s="8" t="s">
        <v>628</v>
      </c>
      <c r="E50" s="8" t="s">
        <v>629</v>
      </c>
      <c r="F50" s="8" t="s">
        <v>229</v>
      </c>
      <c r="G50" s="8" t="s">
        <v>392</v>
      </c>
      <c r="H50" s="8" t="s">
        <v>393</v>
      </c>
      <c r="I50" s="8" t="s">
        <v>394</v>
      </c>
      <c r="J50" s="8" t="s">
        <v>630</v>
      </c>
      <c r="K50" s="8" t="s">
        <v>631</v>
      </c>
      <c r="L50" s="8" t="s">
        <v>632</v>
      </c>
      <c r="M50" s="8" t="s">
        <v>633</v>
      </c>
      <c r="N50" s="8" t="s">
        <v>399</v>
      </c>
      <c r="O50" s="15" t="n">
        <f aca="false">IFERROR(INDEX('Sampling Guide'!$B$2:$B$20,MATCH(N50,'Sampling Guide'!$A$2:$A$20,0)),"TBD")</f>
        <v>1</v>
      </c>
      <c r="P50" s="9"/>
      <c r="Q50" s="9"/>
      <c r="R50" s="9"/>
      <c r="S50" s="9"/>
      <c r="T50" s="9"/>
    </row>
    <row r="51" customFormat="false" ht="120" hidden="false" customHeight="true" outlineLevel="0" collapsed="false">
      <c r="A51" s="14" t="s">
        <v>634</v>
      </c>
      <c r="B51" s="8" t="s">
        <v>196</v>
      </c>
      <c r="C51" s="8" t="s">
        <v>635</v>
      </c>
      <c r="D51" s="8" t="s">
        <v>636</v>
      </c>
      <c r="E51" s="8" t="s">
        <v>637</v>
      </c>
      <c r="F51" s="8" t="s">
        <v>229</v>
      </c>
      <c r="G51" s="8" t="s">
        <v>253</v>
      </c>
      <c r="H51" s="8" t="s">
        <v>305</v>
      </c>
      <c r="I51" s="8" t="s">
        <v>622</v>
      </c>
      <c r="J51" s="8" t="s">
        <v>638</v>
      </c>
      <c r="K51" s="8" t="s">
        <v>639</v>
      </c>
      <c r="L51" s="8" t="s">
        <v>640</v>
      </c>
      <c r="M51" s="8" t="s">
        <v>641</v>
      </c>
      <c r="N51" s="8" t="s">
        <v>286</v>
      </c>
      <c r="O51" s="15" t="n">
        <f aca="false">IFERROR(INDEX('Sampling Guide'!$B$2:$B$20,MATCH(N51,'Sampling Guide'!$A$2:$A$20,0)),"TBD")</f>
        <v>25</v>
      </c>
      <c r="P51" s="9"/>
      <c r="Q51" s="9"/>
      <c r="R51" s="9"/>
      <c r="S51" s="9"/>
      <c r="T51" s="9"/>
    </row>
    <row r="52" customFormat="false" ht="120" hidden="false" customHeight="true" outlineLevel="0" collapsed="false">
      <c r="A52" s="14" t="s">
        <v>642</v>
      </c>
      <c r="B52" s="8" t="s">
        <v>196</v>
      </c>
      <c r="C52" s="8" t="s">
        <v>643</v>
      </c>
      <c r="D52" s="8" t="s">
        <v>644</v>
      </c>
      <c r="E52" s="8" t="s">
        <v>645</v>
      </c>
      <c r="F52" s="8" t="s">
        <v>229</v>
      </c>
      <c r="G52" s="8" t="s">
        <v>230</v>
      </c>
      <c r="H52" s="8" t="s">
        <v>231</v>
      </c>
      <c r="I52" s="8" t="s">
        <v>272</v>
      </c>
      <c r="J52" s="8" t="s">
        <v>646</v>
      </c>
      <c r="K52" s="8" t="s">
        <v>647</v>
      </c>
      <c r="L52" s="8" t="s">
        <v>292</v>
      </c>
      <c r="M52" s="8" t="s">
        <v>648</v>
      </c>
      <c r="N52" s="8" t="s">
        <v>231</v>
      </c>
      <c r="O52" s="15" t="n">
        <f aca="false">IFERROR(INDEX('Sampling Guide'!$B$2:$B$20,MATCH(N52,'Sampling Guide'!$A$2:$A$20,0)),"TBD")</f>
        <v>1</v>
      </c>
      <c r="P52" s="9"/>
      <c r="Q52" s="9"/>
      <c r="R52" s="9"/>
      <c r="S52" s="9"/>
      <c r="T52" s="9"/>
    </row>
    <row r="53" customFormat="false" ht="120" hidden="false" customHeight="true" outlineLevel="0" collapsed="false">
      <c r="A53" s="14" t="s">
        <v>649</v>
      </c>
      <c r="B53" s="8" t="s">
        <v>196</v>
      </c>
      <c r="C53" s="8" t="s">
        <v>650</v>
      </c>
      <c r="D53" s="8" t="s">
        <v>651</v>
      </c>
      <c r="E53" s="8" t="s">
        <v>652</v>
      </c>
      <c r="F53" s="8" t="s">
        <v>229</v>
      </c>
      <c r="G53" s="8" t="s">
        <v>392</v>
      </c>
      <c r="H53" s="8" t="s">
        <v>393</v>
      </c>
      <c r="I53" s="8" t="s">
        <v>232</v>
      </c>
      <c r="J53" s="8" t="s">
        <v>653</v>
      </c>
      <c r="K53" s="8" t="s">
        <v>654</v>
      </c>
      <c r="L53" s="8" t="s">
        <v>655</v>
      </c>
      <c r="M53" s="8" t="s">
        <v>656</v>
      </c>
      <c r="N53" s="8" t="s">
        <v>399</v>
      </c>
      <c r="O53" s="15" t="n">
        <f aca="false">IFERROR(INDEX('Sampling Guide'!$B$2:$B$20,MATCH(N53,'Sampling Guide'!$A$2:$A$20,0)),"TBD")</f>
        <v>1</v>
      </c>
      <c r="P53" s="9"/>
      <c r="Q53" s="9"/>
      <c r="R53" s="9"/>
      <c r="S53" s="9"/>
      <c r="T53" s="9"/>
    </row>
    <row r="54" customFormat="false" ht="120" hidden="false" customHeight="true" outlineLevel="0" collapsed="false">
      <c r="A54" s="14" t="s">
        <v>657</v>
      </c>
      <c r="B54" s="8" t="s">
        <v>197</v>
      </c>
      <c r="C54" s="8" t="s">
        <v>658</v>
      </c>
      <c r="D54" s="8" t="s">
        <v>659</v>
      </c>
      <c r="E54" s="8" t="s">
        <v>660</v>
      </c>
      <c r="F54" s="8" t="s">
        <v>244</v>
      </c>
      <c r="G54" s="8" t="s">
        <v>392</v>
      </c>
      <c r="H54" s="8" t="s">
        <v>661</v>
      </c>
      <c r="I54" s="8" t="s">
        <v>497</v>
      </c>
      <c r="J54" s="8" t="s">
        <v>662</v>
      </c>
      <c r="K54" s="8" t="s">
        <v>663</v>
      </c>
      <c r="L54" s="8" t="s">
        <v>664</v>
      </c>
      <c r="M54" s="8" t="s">
        <v>665</v>
      </c>
      <c r="N54" s="8" t="s">
        <v>666</v>
      </c>
      <c r="O54" s="15" t="n">
        <f aca="false">IFERROR(INDEX('Sampling Guide'!$B$2:$B$20,MATCH(N54,'Sampling Guide'!$A$2:$A$20,0)),"TBD")</f>
        <v>5</v>
      </c>
      <c r="P54" s="9"/>
      <c r="Q54" s="9" t="s">
        <v>667</v>
      </c>
      <c r="R54" s="9"/>
      <c r="S54" s="9"/>
      <c r="T54" s="9"/>
    </row>
    <row r="55" customFormat="false" ht="120" hidden="false" customHeight="true" outlineLevel="0" collapsed="false">
      <c r="A55" s="14" t="s">
        <v>151</v>
      </c>
      <c r="B55" s="8" t="s">
        <v>197</v>
      </c>
      <c r="C55" s="8" t="s">
        <v>668</v>
      </c>
      <c r="D55" s="8" t="s">
        <v>669</v>
      </c>
      <c r="E55" s="8" t="s">
        <v>670</v>
      </c>
      <c r="F55" s="8" t="s">
        <v>244</v>
      </c>
      <c r="G55" s="8" t="s">
        <v>230</v>
      </c>
      <c r="H55" s="8" t="s">
        <v>231</v>
      </c>
      <c r="I55" s="8" t="s">
        <v>497</v>
      </c>
      <c r="J55" s="8" t="s">
        <v>581</v>
      </c>
      <c r="K55" s="8" t="s">
        <v>671</v>
      </c>
      <c r="L55" s="8" t="s">
        <v>292</v>
      </c>
      <c r="M55" s="8" t="s">
        <v>672</v>
      </c>
      <c r="N55" s="8" t="s">
        <v>231</v>
      </c>
      <c r="O55" s="15" t="n">
        <f aca="false">IFERROR(INDEX('Sampling Guide'!$B$2:$B$20,MATCH(N55,'Sampling Guide'!$A$2:$A$20,0)),"TBD")</f>
        <v>1</v>
      </c>
      <c r="P55" s="9"/>
      <c r="Q55" s="9"/>
      <c r="R55" s="9"/>
      <c r="S55" s="9"/>
      <c r="T55" s="9"/>
    </row>
    <row r="56" customFormat="false" ht="120" hidden="false" customHeight="true" outlineLevel="0" collapsed="false">
      <c r="A56" s="14" t="s">
        <v>673</v>
      </c>
      <c r="B56" s="8" t="s">
        <v>197</v>
      </c>
      <c r="C56" s="8" t="s">
        <v>674</v>
      </c>
      <c r="D56" s="8" t="s">
        <v>675</v>
      </c>
      <c r="E56" s="8" t="s">
        <v>676</v>
      </c>
      <c r="F56" s="8" t="s">
        <v>229</v>
      </c>
      <c r="G56" s="8" t="s">
        <v>392</v>
      </c>
      <c r="H56" s="8" t="s">
        <v>677</v>
      </c>
      <c r="I56" s="8" t="s">
        <v>449</v>
      </c>
      <c r="J56" s="8" t="s">
        <v>678</v>
      </c>
      <c r="K56" s="8" t="s">
        <v>679</v>
      </c>
      <c r="L56" s="8" t="s">
        <v>680</v>
      </c>
      <c r="M56" s="8" t="s">
        <v>681</v>
      </c>
      <c r="N56" s="8" t="s">
        <v>677</v>
      </c>
      <c r="O56" s="15" t="n">
        <f aca="false">IFERROR(INDEX('Sampling Guide'!$B$2:$B$20,MATCH(N56,'Sampling Guide'!$A$2:$A$20,0)),"TBD")</f>
        <v>2</v>
      </c>
      <c r="P56" s="9"/>
      <c r="Q56" s="9"/>
      <c r="R56" s="9"/>
      <c r="S56" s="9"/>
      <c r="T56" s="9"/>
    </row>
    <row r="57" customFormat="false" ht="120" hidden="false" customHeight="true" outlineLevel="0" collapsed="false">
      <c r="A57" s="14" t="s">
        <v>682</v>
      </c>
      <c r="B57" s="8" t="s">
        <v>198</v>
      </c>
      <c r="C57" s="8" t="s">
        <v>683</v>
      </c>
      <c r="D57" s="8" t="s">
        <v>684</v>
      </c>
      <c r="E57" s="8" t="s">
        <v>685</v>
      </c>
      <c r="F57" s="8" t="s">
        <v>244</v>
      </c>
      <c r="G57" s="8" t="s">
        <v>392</v>
      </c>
      <c r="H57" s="8" t="s">
        <v>393</v>
      </c>
      <c r="I57" s="8" t="s">
        <v>686</v>
      </c>
      <c r="J57" s="8" t="s">
        <v>687</v>
      </c>
      <c r="K57" s="8" t="s">
        <v>688</v>
      </c>
      <c r="L57" s="8" t="s">
        <v>689</v>
      </c>
      <c r="M57" s="8" t="s">
        <v>690</v>
      </c>
      <c r="N57" s="8" t="s">
        <v>399</v>
      </c>
      <c r="O57" s="15" t="n">
        <f aca="false">IFERROR(INDEX('Sampling Guide'!$B$2:$B$20,MATCH(N57,'Sampling Guide'!$A$2:$A$20,0)),"TBD")</f>
        <v>1</v>
      </c>
      <c r="P57" s="9"/>
      <c r="Q57" s="9" t="s">
        <v>691</v>
      </c>
      <c r="R57" s="9"/>
      <c r="S57" s="9"/>
      <c r="T57" s="9"/>
    </row>
    <row r="58" customFormat="false" ht="120" hidden="false" customHeight="true" outlineLevel="0" collapsed="false">
      <c r="A58" s="14" t="s">
        <v>692</v>
      </c>
      <c r="B58" s="8" t="s">
        <v>198</v>
      </c>
      <c r="C58" s="8" t="s">
        <v>693</v>
      </c>
      <c r="D58" s="8" t="s">
        <v>694</v>
      </c>
      <c r="E58" s="8" t="s">
        <v>695</v>
      </c>
      <c r="F58" s="8" t="s">
        <v>229</v>
      </c>
      <c r="G58" s="8" t="s">
        <v>392</v>
      </c>
      <c r="H58" s="8" t="s">
        <v>393</v>
      </c>
      <c r="I58" s="8" t="s">
        <v>686</v>
      </c>
      <c r="J58" s="8" t="s">
        <v>696</v>
      </c>
      <c r="K58" s="8" t="s">
        <v>697</v>
      </c>
      <c r="L58" s="8" t="s">
        <v>698</v>
      </c>
      <c r="M58" s="8" t="s">
        <v>699</v>
      </c>
      <c r="N58" s="8" t="s">
        <v>399</v>
      </c>
      <c r="O58" s="15" t="n">
        <f aca="false">IFERROR(INDEX('Sampling Guide'!$B$2:$B$20,MATCH(N58,'Sampling Guide'!$A$2:$A$20,0)),"TBD")</f>
        <v>1</v>
      </c>
      <c r="P58" s="9"/>
      <c r="Q58" s="9"/>
      <c r="R58" s="9"/>
      <c r="S58" s="9"/>
      <c r="T58" s="9"/>
    </row>
    <row r="59" customFormat="false" ht="120" hidden="false" customHeight="true" outlineLevel="0" collapsed="false">
      <c r="A59" s="14" t="s">
        <v>700</v>
      </c>
      <c r="B59" s="8" t="s">
        <v>198</v>
      </c>
      <c r="C59" s="8" t="s">
        <v>701</v>
      </c>
      <c r="D59" s="8" t="s">
        <v>702</v>
      </c>
      <c r="E59" s="8" t="s">
        <v>703</v>
      </c>
      <c r="F59" s="8" t="s">
        <v>244</v>
      </c>
      <c r="G59" s="8" t="s">
        <v>392</v>
      </c>
      <c r="H59" s="8" t="s">
        <v>393</v>
      </c>
      <c r="I59" s="8" t="s">
        <v>686</v>
      </c>
      <c r="J59" s="8" t="s">
        <v>704</v>
      </c>
      <c r="K59" s="8" t="s">
        <v>705</v>
      </c>
      <c r="L59" s="8" t="s">
        <v>706</v>
      </c>
      <c r="M59" s="8" t="s">
        <v>707</v>
      </c>
      <c r="N59" s="8" t="s">
        <v>399</v>
      </c>
      <c r="O59" s="15" t="n">
        <f aca="false">IFERROR(INDEX('Sampling Guide'!$B$2:$B$20,MATCH(N59,'Sampling Guide'!$A$2:$A$20,0)),"TBD")</f>
        <v>1</v>
      </c>
      <c r="P59" s="9"/>
      <c r="Q59" s="9" t="s">
        <v>708</v>
      </c>
      <c r="R59" s="9"/>
      <c r="S59" s="9"/>
      <c r="T59" s="9"/>
    </row>
    <row r="60" customFormat="false" ht="120" hidden="false" customHeight="true" outlineLevel="0" collapsed="false">
      <c r="A60" s="14" t="s">
        <v>709</v>
      </c>
      <c r="B60" s="8" t="s">
        <v>198</v>
      </c>
      <c r="C60" s="8" t="s">
        <v>710</v>
      </c>
      <c r="D60" s="8" t="s">
        <v>711</v>
      </c>
      <c r="E60" s="8" t="s">
        <v>712</v>
      </c>
      <c r="F60" s="8" t="s">
        <v>244</v>
      </c>
      <c r="G60" s="8" t="s">
        <v>392</v>
      </c>
      <c r="H60" s="8" t="s">
        <v>393</v>
      </c>
      <c r="I60" s="8" t="s">
        <v>713</v>
      </c>
      <c r="J60" s="8" t="s">
        <v>714</v>
      </c>
      <c r="K60" s="8" t="s">
        <v>715</v>
      </c>
      <c r="L60" s="8" t="s">
        <v>716</v>
      </c>
      <c r="M60" s="8" t="s">
        <v>717</v>
      </c>
      <c r="N60" s="8" t="s">
        <v>399</v>
      </c>
      <c r="O60" s="15" t="n">
        <f aca="false">IFERROR(INDEX('Sampling Guide'!$B$2:$B$20,MATCH(N60,'Sampling Guide'!$A$2:$A$20,0)),"TBD")</f>
        <v>1</v>
      </c>
      <c r="P60" s="9"/>
      <c r="Q60" s="9"/>
      <c r="R60" s="9"/>
      <c r="S60" s="9"/>
      <c r="T60" s="9"/>
    </row>
    <row r="61" customFormat="false" ht="120" hidden="false" customHeight="true" outlineLevel="0" collapsed="false">
      <c r="A61" s="14" t="s">
        <v>718</v>
      </c>
      <c r="B61" s="8" t="s">
        <v>198</v>
      </c>
      <c r="C61" s="8" t="s">
        <v>719</v>
      </c>
      <c r="D61" s="8" t="s">
        <v>720</v>
      </c>
      <c r="E61" s="8" t="s">
        <v>721</v>
      </c>
      <c r="F61" s="8" t="s">
        <v>244</v>
      </c>
      <c r="G61" s="8" t="s">
        <v>253</v>
      </c>
      <c r="H61" s="8" t="s">
        <v>305</v>
      </c>
      <c r="I61" s="8" t="s">
        <v>686</v>
      </c>
      <c r="J61" s="8" t="s">
        <v>722</v>
      </c>
      <c r="K61" s="8" t="s">
        <v>723</v>
      </c>
      <c r="L61" s="8" t="s">
        <v>724</v>
      </c>
      <c r="M61" s="8" t="s">
        <v>725</v>
      </c>
      <c r="N61" s="8" t="s">
        <v>286</v>
      </c>
      <c r="O61" s="15" t="n">
        <f aca="false">IFERROR(INDEX('Sampling Guide'!$B$2:$B$20,MATCH(N61,'Sampling Guide'!$A$2:$A$20,0)),"TBD")</f>
        <v>25</v>
      </c>
      <c r="P61" s="9"/>
      <c r="Q61" s="9" t="s">
        <v>726</v>
      </c>
      <c r="R61" s="9"/>
      <c r="S61" s="9"/>
      <c r="T61" s="9"/>
    </row>
    <row r="62" customFormat="false" ht="120" hidden="false" customHeight="true" outlineLevel="0" collapsed="false">
      <c r="A62" s="14" t="s">
        <v>727</v>
      </c>
      <c r="B62" s="8" t="s">
        <v>198</v>
      </c>
      <c r="C62" s="8" t="s">
        <v>728</v>
      </c>
      <c r="D62" s="8" t="s">
        <v>729</v>
      </c>
      <c r="E62" s="8" t="s">
        <v>730</v>
      </c>
      <c r="F62" s="8" t="s">
        <v>244</v>
      </c>
      <c r="G62" s="8" t="s">
        <v>392</v>
      </c>
      <c r="H62" s="8" t="s">
        <v>731</v>
      </c>
      <c r="I62" s="8" t="s">
        <v>272</v>
      </c>
      <c r="J62" s="8" t="s">
        <v>732</v>
      </c>
      <c r="K62" s="8" t="s">
        <v>733</v>
      </c>
      <c r="L62" s="8" t="s">
        <v>734</v>
      </c>
      <c r="M62" s="8" t="s">
        <v>735</v>
      </c>
      <c r="N62" s="8" t="s">
        <v>731</v>
      </c>
      <c r="O62" s="15" t="n">
        <f aca="false">IFERROR(INDEX('Sampling Guide'!$B$2:$B$20,MATCH(N62,'Sampling Guide'!$A$2:$A$20,0)),"TBD")</f>
        <v>20</v>
      </c>
      <c r="P62" s="9"/>
      <c r="Q62" s="9"/>
      <c r="R62" s="9"/>
      <c r="S62" s="9"/>
      <c r="T62" s="9"/>
    </row>
    <row r="63" customFormat="false" ht="120" hidden="false" customHeight="true" outlineLevel="0" collapsed="false">
      <c r="A63" s="14" t="s">
        <v>736</v>
      </c>
      <c r="B63" s="8" t="s">
        <v>199</v>
      </c>
      <c r="C63" s="8" t="s">
        <v>737</v>
      </c>
      <c r="D63" s="8" t="s">
        <v>738</v>
      </c>
      <c r="E63" s="8" t="s">
        <v>172</v>
      </c>
      <c r="F63" s="8" t="s">
        <v>229</v>
      </c>
      <c r="G63" s="8" t="s">
        <v>230</v>
      </c>
      <c r="H63" s="8" t="s">
        <v>231</v>
      </c>
      <c r="I63" s="8" t="s">
        <v>232</v>
      </c>
      <c r="J63" s="8" t="s">
        <v>739</v>
      </c>
      <c r="K63" s="8" t="s">
        <v>740</v>
      </c>
      <c r="L63" s="8" t="s">
        <v>292</v>
      </c>
      <c r="M63" s="8" t="s">
        <v>741</v>
      </c>
      <c r="N63" s="8" t="s">
        <v>231</v>
      </c>
      <c r="O63" s="15" t="n">
        <f aca="false">IFERROR(INDEX('Sampling Guide'!$B$2:$B$20,MATCH(N63,'Sampling Guide'!$A$2:$A$20,0)),"TBD")</f>
        <v>1</v>
      </c>
      <c r="P63" s="9"/>
      <c r="Q63" s="9"/>
      <c r="R63" s="9"/>
      <c r="S63" s="9"/>
      <c r="T63" s="9"/>
    </row>
    <row r="64" customFormat="false" ht="120" hidden="false" customHeight="true" outlineLevel="0" collapsed="false">
      <c r="A64" s="14" t="s">
        <v>742</v>
      </c>
      <c r="B64" s="8" t="s">
        <v>199</v>
      </c>
      <c r="C64" s="8" t="s">
        <v>743</v>
      </c>
      <c r="D64" s="8" t="s">
        <v>744</v>
      </c>
      <c r="E64" s="8" t="s">
        <v>745</v>
      </c>
      <c r="F64" s="8" t="s">
        <v>335</v>
      </c>
      <c r="G64" s="8" t="s">
        <v>253</v>
      </c>
      <c r="H64" s="8" t="s">
        <v>305</v>
      </c>
      <c r="I64" s="8" t="s">
        <v>232</v>
      </c>
      <c r="J64" s="8" t="s">
        <v>746</v>
      </c>
      <c r="K64" s="8" t="s">
        <v>747</v>
      </c>
      <c r="L64" s="8" t="s">
        <v>748</v>
      </c>
      <c r="M64" s="8" t="s">
        <v>749</v>
      </c>
      <c r="N64" s="8" t="s">
        <v>286</v>
      </c>
      <c r="O64" s="15" t="n">
        <f aca="false">IFERROR(INDEX('Sampling Guide'!$B$2:$B$20,MATCH(N64,'Sampling Guide'!$A$2:$A$20,0)),"TBD")</f>
        <v>25</v>
      </c>
      <c r="P64" s="9"/>
      <c r="Q64" s="9" t="s">
        <v>750</v>
      </c>
      <c r="R64" s="9"/>
      <c r="S64" s="9"/>
      <c r="T64" s="9"/>
    </row>
    <row r="65" customFormat="false" ht="120" hidden="false" customHeight="true" outlineLevel="0" collapsed="false">
      <c r="A65" s="14" t="s">
        <v>751</v>
      </c>
      <c r="B65" s="8" t="s">
        <v>199</v>
      </c>
      <c r="C65" s="8" t="s">
        <v>752</v>
      </c>
      <c r="D65" s="8" t="s">
        <v>753</v>
      </c>
      <c r="E65" s="8" t="s">
        <v>91</v>
      </c>
      <c r="F65" s="8" t="s">
        <v>335</v>
      </c>
      <c r="G65" s="8" t="s">
        <v>230</v>
      </c>
      <c r="H65" s="8" t="s">
        <v>305</v>
      </c>
      <c r="I65" s="8" t="s">
        <v>232</v>
      </c>
      <c r="J65" s="8" t="s">
        <v>754</v>
      </c>
      <c r="K65" s="8" t="s">
        <v>755</v>
      </c>
      <c r="L65" s="8" t="s">
        <v>292</v>
      </c>
      <c r="M65" s="8" t="s">
        <v>756</v>
      </c>
      <c r="N65" s="8" t="s">
        <v>286</v>
      </c>
      <c r="O65" s="15" t="n">
        <f aca="false">IFERROR(INDEX('Sampling Guide'!$B$2:$B$20,MATCH(N65,'Sampling Guide'!$A$2:$A$20,0)),"TBD")</f>
        <v>25</v>
      </c>
      <c r="P65" s="9"/>
      <c r="Q65" s="9" t="s">
        <v>757</v>
      </c>
      <c r="R65" s="9"/>
      <c r="S65" s="9"/>
      <c r="T65" s="9"/>
    </row>
    <row r="66" customFormat="false" ht="120" hidden="false" customHeight="true" outlineLevel="0" collapsed="false">
      <c r="A66" s="14" t="s">
        <v>758</v>
      </c>
      <c r="B66" s="8" t="s">
        <v>199</v>
      </c>
      <c r="C66" s="8" t="s">
        <v>759</v>
      </c>
      <c r="D66" s="8" t="s">
        <v>760</v>
      </c>
      <c r="E66" s="8" t="s">
        <v>172</v>
      </c>
      <c r="F66" s="8" t="s">
        <v>244</v>
      </c>
      <c r="G66" s="8" t="s">
        <v>230</v>
      </c>
      <c r="H66" s="8" t="s">
        <v>231</v>
      </c>
      <c r="I66" s="8" t="s">
        <v>232</v>
      </c>
      <c r="J66" s="8" t="s">
        <v>761</v>
      </c>
      <c r="K66" s="8" t="s">
        <v>762</v>
      </c>
      <c r="L66" s="8" t="s">
        <v>292</v>
      </c>
      <c r="M66" s="8" t="s">
        <v>763</v>
      </c>
      <c r="N66" s="8" t="s">
        <v>231</v>
      </c>
      <c r="O66" s="15" t="n">
        <f aca="false">IFERROR(INDEX('Sampling Guide'!$B$2:$B$20,MATCH(N66,'Sampling Guide'!$A$2:$A$20,0)),"TBD")</f>
        <v>1</v>
      </c>
      <c r="P66" s="9"/>
      <c r="Q66" s="9"/>
      <c r="R66" s="9"/>
      <c r="S66" s="9"/>
      <c r="T66" s="9"/>
    </row>
    <row r="67" customFormat="false" ht="120" hidden="false" customHeight="true" outlineLevel="0" collapsed="false">
      <c r="A67" s="14" t="s">
        <v>764</v>
      </c>
      <c r="B67" s="8" t="s">
        <v>200</v>
      </c>
      <c r="C67" s="8" t="s">
        <v>765</v>
      </c>
      <c r="D67" s="8" t="s">
        <v>766</v>
      </c>
      <c r="E67" s="8" t="s">
        <v>767</v>
      </c>
      <c r="F67" s="8" t="s">
        <v>229</v>
      </c>
      <c r="G67" s="8" t="s">
        <v>392</v>
      </c>
      <c r="H67" s="8" t="s">
        <v>731</v>
      </c>
      <c r="I67" s="8" t="s">
        <v>713</v>
      </c>
      <c r="J67" s="8" t="s">
        <v>768</v>
      </c>
      <c r="K67" s="8" t="s">
        <v>769</v>
      </c>
      <c r="L67" s="8" t="s">
        <v>770</v>
      </c>
      <c r="M67" s="8" t="s">
        <v>771</v>
      </c>
      <c r="N67" s="8" t="s">
        <v>731</v>
      </c>
      <c r="O67" s="15" t="n">
        <f aca="false">IFERROR(INDEX('Sampling Guide'!$B$2:$B$20,MATCH(N67,'Sampling Guide'!$A$2:$A$20,0)),"TBD")</f>
        <v>20</v>
      </c>
      <c r="P67" s="9"/>
      <c r="Q67" s="9"/>
      <c r="R67" s="9"/>
      <c r="S67" s="9"/>
      <c r="T67" s="9"/>
    </row>
    <row r="68" customFormat="false" ht="120" hidden="false" customHeight="true" outlineLevel="0" collapsed="false">
      <c r="A68" s="14" t="s">
        <v>772</v>
      </c>
      <c r="B68" s="8" t="s">
        <v>200</v>
      </c>
      <c r="C68" s="8" t="s">
        <v>773</v>
      </c>
      <c r="D68" s="8" t="s">
        <v>774</v>
      </c>
      <c r="E68" s="8" t="s">
        <v>775</v>
      </c>
      <c r="F68" s="8" t="s">
        <v>244</v>
      </c>
      <c r="G68" s="8" t="s">
        <v>230</v>
      </c>
      <c r="H68" s="8" t="s">
        <v>263</v>
      </c>
      <c r="I68" s="8" t="s">
        <v>713</v>
      </c>
      <c r="J68" s="8" t="s">
        <v>768</v>
      </c>
      <c r="K68" s="8" t="s">
        <v>776</v>
      </c>
      <c r="L68" s="8" t="s">
        <v>292</v>
      </c>
      <c r="M68" s="8" t="s">
        <v>777</v>
      </c>
      <c r="N68" s="8" t="s">
        <v>263</v>
      </c>
      <c r="O68" s="15" t="n">
        <f aca="false">IFERROR(INDEX('Sampling Guide'!$B$2:$B$20,MATCH(N68,'Sampling Guide'!$A$2:$A$20,0)),"TBD")</f>
        <v>2</v>
      </c>
      <c r="P68" s="9"/>
      <c r="Q68" s="9"/>
      <c r="R68" s="9"/>
      <c r="S68" s="9"/>
      <c r="T68" s="9"/>
    </row>
    <row r="69" customFormat="false" ht="120" hidden="false" customHeight="true" outlineLevel="0" collapsed="false">
      <c r="A69" s="14" t="s">
        <v>778</v>
      </c>
      <c r="B69" s="8" t="s">
        <v>200</v>
      </c>
      <c r="C69" s="8" t="s">
        <v>779</v>
      </c>
      <c r="D69" s="8" t="s">
        <v>780</v>
      </c>
      <c r="E69" s="8" t="s">
        <v>172</v>
      </c>
      <c r="F69" s="8" t="s">
        <v>335</v>
      </c>
      <c r="G69" s="8" t="s">
        <v>230</v>
      </c>
      <c r="H69" s="8" t="s">
        <v>231</v>
      </c>
      <c r="I69" s="8" t="s">
        <v>713</v>
      </c>
      <c r="J69" s="8" t="s">
        <v>768</v>
      </c>
      <c r="K69" s="8" t="s">
        <v>781</v>
      </c>
      <c r="L69" s="8" t="s">
        <v>292</v>
      </c>
      <c r="M69" s="8" t="s">
        <v>782</v>
      </c>
      <c r="N69" s="8" t="s">
        <v>231</v>
      </c>
      <c r="O69" s="15" t="n">
        <f aca="false">IFERROR(INDEX('Sampling Guide'!$B$2:$B$20,MATCH(N69,'Sampling Guide'!$A$2:$A$20,0)),"TBD")</f>
        <v>1</v>
      </c>
      <c r="P69" s="9"/>
      <c r="Q69" s="9"/>
      <c r="R69" s="9"/>
      <c r="S69" s="9"/>
      <c r="T69" s="9"/>
    </row>
    <row r="70" customFormat="false" ht="120" hidden="false" customHeight="true" outlineLevel="0" collapsed="false">
      <c r="A70" s="14" t="s">
        <v>783</v>
      </c>
      <c r="B70" s="8" t="s">
        <v>200</v>
      </c>
      <c r="C70" s="8" t="s">
        <v>784</v>
      </c>
      <c r="D70" s="8" t="s">
        <v>785</v>
      </c>
      <c r="E70" s="8" t="s">
        <v>531</v>
      </c>
      <c r="F70" s="8" t="s">
        <v>229</v>
      </c>
      <c r="G70" s="8" t="s">
        <v>392</v>
      </c>
      <c r="H70" s="8" t="s">
        <v>393</v>
      </c>
      <c r="I70" s="8" t="s">
        <v>449</v>
      </c>
      <c r="J70" s="8" t="s">
        <v>786</v>
      </c>
      <c r="K70" s="8" t="s">
        <v>787</v>
      </c>
      <c r="L70" s="8" t="s">
        <v>788</v>
      </c>
      <c r="M70" s="8" t="s">
        <v>535</v>
      </c>
      <c r="N70" s="8" t="s">
        <v>399</v>
      </c>
      <c r="O70" s="15" t="n">
        <f aca="false">IFERROR(INDEX('Sampling Guide'!$B$2:$B$20,MATCH(N70,'Sampling Guide'!$A$2:$A$20,0)),"TBD")</f>
        <v>1</v>
      </c>
      <c r="P70" s="9"/>
      <c r="Q70" s="9"/>
      <c r="R70" s="9"/>
      <c r="S70" s="9"/>
      <c r="T70" s="9"/>
    </row>
  </sheetData>
  <autoFilter ref="A1:T1"/>
  <conditionalFormatting sqref="R2:R70">
    <cfRule type="cellIs" priority="2" operator="equal" aboveAverage="0" equalAverage="0" bottom="0" percent="0" rank="0" text="" dxfId="2">
      <formula>"Implemented"</formula>
    </cfRule>
    <cfRule type="cellIs" priority="3" operator="equal" aboveAverage="0" equalAverage="0" bottom="0" percent="0" rank="0" text="" dxfId="3">
      <formula>"Partially implemented"</formula>
    </cfRule>
    <cfRule type="cellIs" priority="4" operator="equal" aboveAverage="0" equalAverage="0" bottom="0" percent="0" rank="0" text="" dxfId="4">
      <formula>"Not implemented"</formula>
    </cfRule>
  </conditionalFormatting>
  <dataValidations count="1">
    <dataValidation allowBlank="true" errorStyle="stop" operator="between" showDropDown="false" showErrorMessage="false" showInputMessage="false" sqref="R2:R70" type="list">
      <formula1>"Implemented,Partially implemented,Not implemented,Not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7" t="s">
        <v>789</v>
      </c>
      <c r="B1" s="7" t="s">
        <v>790</v>
      </c>
      <c r="C1" s="7" t="s">
        <v>791</v>
      </c>
      <c r="D1" s="7" t="s">
        <v>792</v>
      </c>
      <c r="E1" s="7" t="s">
        <v>793</v>
      </c>
      <c r="F1" s="7" t="s">
        <v>794</v>
      </c>
      <c r="G1" s="7" t="s">
        <v>795</v>
      </c>
    </row>
    <row r="2" customFormat="false" ht="15" hidden="false" customHeight="false" outlineLevel="0" collapsed="false">
      <c r="A2" s="14" t="s">
        <v>796</v>
      </c>
      <c r="B2" s="8" t="s">
        <v>797</v>
      </c>
      <c r="C2" s="8" t="s">
        <v>798</v>
      </c>
      <c r="D2" s="8" t="n">
        <f aca="false">COUNTIF('Control Matrix'!$J$2:$J$70,"*"&amp;A2&amp;"*")</f>
        <v>3</v>
      </c>
      <c r="E2" s="8" t="n">
        <f aca="false">COUNTIFS('Control Matrix'!$J$2:$J$70,"*"&amp;A2&amp;"*",'Control Matrix'!$R$2:$R$70,"Implemented")</f>
        <v>1</v>
      </c>
      <c r="F2" s="8" t="str">
        <f aca="false">IF(D2&gt;0,"Covered","GAP")</f>
        <v>Covered</v>
      </c>
      <c r="G2" s="8" t="str">
        <f aca="false">IF(D2=0,"GAP",IF(E2=D2,"Ready",IF(E2&gt;0,"In progress","Not started")))</f>
        <v>In progress</v>
      </c>
    </row>
    <row r="3" customFormat="false" ht="15" hidden="false" customHeight="false" outlineLevel="0" collapsed="false">
      <c r="A3" s="14" t="s">
        <v>799</v>
      </c>
      <c r="B3" s="8" t="s">
        <v>797</v>
      </c>
      <c r="C3" s="8" t="s">
        <v>800</v>
      </c>
      <c r="D3" s="8" t="n">
        <f aca="false">COUNTIF('Control Matrix'!$J$2:$J$70,"*"&amp;A3&amp;"*")</f>
        <v>1</v>
      </c>
      <c r="E3" s="8" t="n">
        <f aca="false">COUNTIFS('Control Matrix'!$J$2:$J$70,"*"&amp;A3&amp;"*",'Control Matrix'!$R$2:$R$70,"Implemented")</f>
        <v>0</v>
      </c>
      <c r="F3" s="8" t="str">
        <f aca="false">IF(D3&gt;0,"Covered","GAP")</f>
        <v>Covered</v>
      </c>
      <c r="G3" s="8" t="str">
        <f aca="false">IF(D3=0,"GAP",IF(E3=D3,"Ready",IF(E3&gt;0,"In progress","Not started")))</f>
        <v>Not started</v>
      </c>
    </row>
    <row r="4" customFormat="false" ht="15" hidden="false" customHeight="false" outlineLevel="0" collapsed="false">
      <c r="A4" s="14" t="s">
        <v>255</v>
      </c>
      <c r="B4" s="8" t="s">
        <v>797</v>
      </c>
      <c r="C4" s="8" t="s">
        <v>801</v>
      </c>
      <c r="D4" s="8" t="n">
        <f aca="false">COUNTIF('Control Matrix'!$J$2:$J$70,"*"&amp;A4&amp;"*")</f>
        <v>3</v>
      </c>
      <c r="E4" s="8" t="n">
        <f aca="false">COUNTIFS('Control Matrix'!$J$2:$J$70,"*"&amp;A4&amp;"*",'Control Matrix'!$R$2:$R$70,"Implemented")</f>
        <v>0</v>
      </c>
      <c r="F4" s="8" t="str">
        <f aca="false">IF(D4&gt;0,"Covered","GAP")</f>
        <v>Covered</v>
      </c>
      <c r="G4" s="8" t="str">
        <f aca="false">IF(D4=0,"GAP",IF(E4=D4,"Ready",IF(E4&gt;0,"In progress","Not started")))</f>
        <v>Not started</v>
      </c>
    </row>
    <row r="5" customFormat="false" ht="15" hidden="false" customHeight="false" outlineLevel="0" collapsed="false">
      <c r="A5" s="14" t="s">
        <v>306</v>
      </c>
      <c r="B5" s="8" t="s">
        <v>797</v>
      </c>
      <c r="C5" s="8" t="s">
        <v>802</v>
      </c>
      <c r="D5" s="8" t="n">
        <f aca="false">COUNTIF('Control Matrix'!$J$2:$J$70,"*"&amp;A5&amp;"*")</f>
        <v>3</v>
      </c>
      <c r="E5" s="8" t="n">
        <f aca="false">COUNTIFS('Control Matrix'!$J$2:$J$70,"*"&amp;A5&amp;"*",'Control Matrix'!$R$2:$R$70,"Implemented")</f>
        <v>0</v>
      </c>
      <c r="F5" s="8" t="str">
        <f aca="false">IF(D5&gt;0,"Covered","GAP")</f>
        <v>Covered</v>
      </c>
      <c r="G5" s="8" t="str">
        <f aca="false">IF(D5=0,"GAP",IF(E5=D5,"Ready",IF(E5&gt;0,"In progress","Not started")))</f>
        <v>Not started</v>
      </c>
    </row>
    <row r="6" customFormat="false" ht="15" hidden="false" customHeight="false" outlineLevel="0" collapsed="false">
      <c r="A6" s="14" t="s">
        <v>336</v>
      </c>
      <c r="B6" s="8" t="s">
        <v>797</v>
      </c>
      <c r="C6" s="8" t="s">
        <v>803</v>
      </c>
      <c r="D6" s="8" t="n">
        <f aca="false">COUNTIF('Control Matrix'!$J$2:$J$70,"*"&amp;A6&amp;"*")</f>
        <v>3</v>
      </c>
      <c r="E6" s="8" t="n">
        <f aca="false">COUNTIFS('Control Matrix'!$J$2:$J$70,"*"&amp;A6&amp;"*",'Control Matrix'!$R$2:$R$70,"Implemented")</f>
        <v>0</v>
      </c>
      <c r="F6" s="8" t="str">
        <f aca="false">IF(D6&gt;0,"Covered","GAP")</f>
        <v>Covered</v>
      </c>
      <c r="G6" s="8" t="str">
        <f aca="false">IF(D6=0,"GAP",IF(E6=D6,"Ready",IF(E6&gt;0,"In progress","Not started")))</f>
        <v>Not started</v>
      </c>
    </row>
    <row r="7" customFormat="false" ht="15" hidden="false" customHeight="false" outlineLevel="0" collapsed="false">
      <c r="A7" s="14" t="s">
        <v>804</v>
      </c>
      <c r="B7" s="8" t="s">
        <v>805</v>
      </c>
      <c r="C7" s="8" t="s">
        <v>806</v>
      </c>
      <c r="D7" s="8" t="n">
        <f aca="false">COUNTIF('Control Matrix'!$J$2:$J$70,"*"&amp;A7&amp;"*")</f>
        <v>5</v>
      </c>
      <c r="E7" s="8" t="n">
        <f aca="false">COUNTIFS('Control Matrix'!$J$2:$J$70,"*"&amp;A7&amp;"*",'Control Matrix'!$R$2:$R$70,"Implemented")</f>
        <v>0</v>
      </c>
      <c r="F7" s="8" t="str">
        <f aca="false">IF(D7&gt;0,"Covered","GAP")</f>
        <v>Covered</v>
      </c>
      <c r="G7" s="8" t="str">
        <f aca="false">IF(D7=0,"GAP",IF(E7=D7,"Ready",IF(E7&gt;0,"In progress","Not started")))</f>
        <v>Not started</v>
      </c>
    </row>
    <row r="8" customFormat="false" ht="15" hidden="false" customHeight="false" outlineLevel="0" collapsed="false">
      <c r="A8" s="14" t="s">
        <v>807</v>
      </c>
      <c r="B8" s="8" t="s">
        <v>805</v>
      </c>
      <c r="C8" s="8" t="s">
        <v>808</v>
      </c>
      <c r="D8" s="8" t="n">
        <f aca="false">COUNTIF('Control Matrix'!$J$2:$J$70,"*"&amp;A8&amp;"*")</f>
        <v>4</v>
      </c>
      <c r="E8" s="8" t="n">
        <f aca="false">COUNTIFS('Control Matrix'!$J$2:$J$70,"*"&amp;A8&amp;"*",'Control Matrix'!$R$2:$R$70,"Implemented")</f>
        <v>1</v>
      </c>
      <c r="F8" s="8" t="str">
        <f aca="false">IF(D8&gt;0,"Covered","GAP")</f>
        <v>Covered</v>
      </c>
      <c r="G8" s="8" t="str">
        <f aca="false">IF(D8=0,"GAP",IF(E8=D8,"Ready",IF(E8&gt;0,"In progress","Not started")))</f>
        <v>In progress</v>
      </c>
    </row>
    <row r="9" customFormat="false" ht="15" hidden="false" customHeight="false" outlineLevel="0" collapsed="false">
      <c r="A9" s="14" t="s">
        <v>282</v>
      </c>
      <c r="B9" s="8" t="s">
        <v>805</v>
      </c>
      <c r="C9" s="8" t="s">
        <v>809</v>
      </c>
      <c r="D9" s="8" t="n">
        <f aca="false">COUNTIF('Control Matrix'!$J$2:$J$70,"*"&amp;A9&amp;"*")</f>
        <v>5</v>
      </c>
      <c r="E9" s="8" t="n">
        <f aca="false">COUNTIFS('Control Matrix'!$J$2:$J$70,"*"&amp;A9&amp;"*",'Control Matrix'!$R$2:$R$70,"Implemented")</f>
        <v>0</v>
      </c>
      <c r="F9" s="8" t="str">
        <f aca="false">IF(D9&gt;0,"Covered","GAP")</f>
        <v>Covered</v>
      </c>
      <c r="G9" s="8" t="str">
        <f aca="false">IF(D9=0,"GAP",IF(E9=D9,"Ready",IF(E9&gt;0,"In progress","Not started")))</f>
        <v>Not started</v>
      </c>
    </row>
    <row r="10" customFormat="false" ht="15" hidden="false" customHeight="false" outlineLevel="0" collapsed="false">
      <c r="A10" s="14" t="s">
        <v>349</v>
      </c>
      <c r="B10" s="8" t="s">
        <v>810</v>
      </c>
      <c r="C10" s="8" t="s">
        <v>811</v>
      </c>
      <c r="D10" s="8" t="n">
        <f aca="false">COUNTIF('Control Matrix'!$J$2:$J$70,"*"&amp;A10&amp;"*")</f>
        <v>2</v>
      </c>
      <c r="E10" s="8" t="n">
        <f aca="false">COUNTIFS('Control Matrix'!$J$2:$J$70,"*"&amp;A10&amp;"*",'Control Matrix'!$R$2:$R$70,"Implemented")</f>
        <v>0</v>
      </c>
      <c r="F10" s="8" t="str">
        <f aca="false">IF(D10&gt;0,"Covered","GAP")</f>
        <v>Covered</v>
      </c>
      <c r="G10" s="8" t="str">
        <f aca="false">IF(D10=0,"GAP",IF(E10=D10,"Ready",IF(E10&gt;0,"In progress","Not started")))</f>
        <v>Not started</v>
      </c>
    </row>
    <row r="11" customFormat="false" ht="15" hidden="false" customHeight="false" outlineLevel="0" collapsed="false">
      <c r="A11" s="14" t="s">
        <v>812</v>
      </c>
      <c r="B11" s="8" t="s">
        <v>810</v>
      </c>
      <c r="C11" s="8" t="s">
        <v>813</v>
      </c>
      <c r="D11" s="8" t="n">
        <f aca="false">COUNTIF('Control Matrix'!$J$2:$J$70,"*"&amp;A11&amp;"*")</f>
        <v>2</v>
      </c>
      <c r="E11" s="8" t="n">
        <f aca="false">COUNTIFS('Control Matrix'!$J$2:$J$70,"*"&amp;A11&amp;"*",'Control Matrix'!$R$2:$R$70,"Implemented")</f>
        <v>0</v>
      </c>
      <c r="F11" s="8" t="str">
        <f aca="false">IF(D11&gt;0,"Covered","GAP")</f>
        <v>Covered</v>
      </c>
      <c r="G11" s="8" t="str">
        <f aca="false">IF(D11=0,"GAP",IF(E11=D11,"Ready",IF(E11&gt;0,"In progress","Not started")))</f>
        <v>Not started</v>
      </c>
    </row>
    <row r="12" customFormat="false" ht="15" hidden="false" customHeight="false" outlineLevel="0" collapsed="false">
      <c r="A12" s="14" t="s">
        <v>814</v>
      </c>
      <c r="B12" s="8" t="s">
        <v>810</v>
      </c>
      <c r="C12" s="8" t="s">
        <v>815</v>
      </c>
      <c r="D12" s="8" t="n">
        <f aca="false">COUNTIF('Control Matrix'!$J$2:$J$70,"*"&amp;A12&amp;"*")</f>
        <v>1</v>
      </c>
      <c r="E12" s="8" t="n">
        <f aca="false">COUNTIFS('Control Matrix'!$J$2:$J$70,"*"&amp;A12&amp;"*",'Control Matrix'!$R$2:$R$70,"Implemented")</f>
        <v>0</v>
      </c>
      <c r="F12" s="8" t="str">
        <f aca="false">IF(D12&gt;0,"Covered","GAP")</f>
        <v>Covered</v>
      </c>
      <c r="G12" s="8" t="str">
        <f aca="false">IF(D12=0,"GAP",IF(E12=D12,"Ready",IF(E12&gt;0,"In progress","Not started")))</f>
        <v>Not started</v>
      </c>
    </row>
    <row r="13" customFormat="false" ht="15" hidden="false" customHeight="false" outlineLevel="0" collapsed="false">
      <c r="A13" s="14" t="s">
        <v>816</v>
      </c>
      <c r="B13" s="8" t="s">
        <v>810</v>
      </c>
      <c r="C13" s="8" t="s">
        <v>817</v>
      </c>
      <c r="D13" s="8" t="n">
        <f aca="false">COUNTIF('Control Matrix'!$J$2:$J$70,"*"&amp;A13&amp;"*")</f>
        <v>4</v>
      </c>
      <c r="E13" s="8" t="n">
        <f aca="false">COUNTIFS('Control Matrix'!$J$2:$J$70,"*"&amp;A13&amp;"*",'Control Matrix'!$R$2:$R$70,"Implemented")</f>
        <v>0</v>
      </c>
      <c r="F13" s="8" t="str">
        <f aca="false">IF(D13&gt;0,"Covered","GAP")</f>
        <v>Covered</v>
      </c>
      <c r="G13" s="8" t="str">
        <f aca="false">IF(D13=0,"GAP",IF(E13=D13,"Ready",IF(E13&gt;0,"In progress","Not started")))</f>
        <v>Not started</v>
      </c>
    </row>
    <row r="14" customFormat="false" ht="15" hidden="false" customHeight="false" outlineLevel="0" collapsed="false">
      <c r="A14" s="14" t="s">
        <v>818</v>
      </c>
      <c r="B14" s="8" t="s">
        <v>819</v>
      </c>
      <c r="C14" s="8" t="s">
        <v>820</v>
      </c>
      <c r="D14" s="8" t="n">
        <f aca="false">COUNTIF('Control Matrix'!$J$2:$J$70,"*"&amp;A14&amp;"*")</f>
        <v>7</v>
      </c>
      <c r="E14" s="8" t="n">
        <f aca="false">COUNTIFS('Control Matrix'!$J$2:$J$70,"*"&amp;A14&amp;"*",'Control Matrix'!$R$2:$R$70,"Implemented")</f>
        <v>0</v>
      </c>
      <c r="F14" s="8" t="str">
        <f aca="false">IF(D14&gt;0,"Covered","GAP")</f>
        <v>Covered</v>
      </c>
      <c r="G14" s="8" t="str">
        <f aca="false">IF(D14=0,"GAP",IF(E14=D14,"Ready",IF(E14&gt;0,"In progress","Not started")))</f>
        <v>Not started</v>
      </c>
    </row>
    <row r="15" customFormat="false" ht="15" hidden="false" customHeight="false" outlineLevel="0" collapsed="false">
      <c r="A15" s="14" t="s">
        <v>821</v>
      </c>
      <c r="B15" s="8" t="s">
        <v>819</v>
      </c>
      <c r="C15" s="8" t="s">
        <v>822</v>
      </c>
      <c r="D15" s="8" t="n">
        <f aca="false">COUNTIF('Control Matrix'!$J$2:$J$70,"*"&amp;A15&amp;"*")</f>
        <v>5</v>
      </c>
      <c r="E15" s="8" t="n">
        <f aca="false">COUNTIFS('Control Matrix'!$J$2:$J$70,"*"&amp;A15&amp;"*",'Control Matrix'!$R$2:$R$70,"Implemented")</f>
        <v>0</v>
      </c>
      <c r="F15" s="8" t="str">
        <f aca="false">IF(D15&gt;0,"Covered","GAP")</f>
        <v>Covered</v>
      </c>
      <c r="G15" s="8" t="str">
        <f aca="false">IF(D15=0,"GAP",IF(E15=D15,"Ready",IF(E15&gt;0,"In progress","Not started")))</f>
        <v>Not started</v>
      </c>
    </row>
    <row r="16" customFormat="false" ht="15" hidden="false" customHeight="false" outlineLevel="0" collapsed="false">
      <c r="A16" s="14" t="s">
        <v>823</v>
      </c>
      <c r="B16" s="8" t="s">
        <v>824</v>
      </c>
      <c r="C16" s="8" t="s">
        <v>825</v>
      </c>
      <c r="D16" s="8" t="n">
        <f aca="false">COUNTIF('Control Matrix'!$J$2:$J$70,"*"&amp;A16&amp;"*")</f>
        <v>2</v>
      </c>
      <c r="E16" s="8" t="n">
        <f aca="false">COUNTIFS('Control Matrix'!$J$2:$J$70,"*"&amp;A16&amp;"*",'Control Matrix'!$R$2:$R$70,"Implemented")</f>
        <v>0</v>
      </c>
      <c r="F16" s="8" t="str">
        <f aca="false">IF(D16&gt;0,"Covered","GAP")</f>
        <v>Covered</v>
      </c>
      <c r="G16" s="8" t="str">
        <f aca="false">IF(D16=0,"GAP",IF(E16=D16,"Ready",IF(E16&gt;0,"In progress","Not started")))</f>
        <v>Not started</v>
      </c>
    </row>
    <row r="17" customFormat="false" ht="15" hidden="false" customHeight="false" outlineLevel="0" collapsed="false">
      <c r="A17" s="14" t="s">
        <v>826</v>
      </c>
      <c r="B17" s="8" t="s">
        <v>824</v>
      </c>
      <c r="C17" s="8" t="s">
        <v>827</v>
      </c>
      <c r="D17" s="8" t="n">
        <f aca="false">COUNTIF('Control Matrix'!$J$2:$J$70,"*"&amp;A17&amp;"*")</f>
        <v>4</v>
      </c>
      <c r="E17" s="8" t="n">
        <f aca="false">COUNTIFS('Control Matrix'!$J$2:$J$70,"*"&amp;A17&amp;"*",'Control Matrix'!$R$2:$R$70,"Implemented")</f>
        <v>0</v>
      </c>
      <c r="F17" s="8" t="str">
        <f aca="false">IF(D17&gt;0,"Covered","GAP")</f>
        <v>Covered</v>
      </c>
      <c r="G17" s="8" t="str">
        <f aca="false">IF(D17=0,"GAP",IF(E17=D17,"Ready",IF(E17&gt;0,"In progress","Not started")))</f>
        <v>Not started</v>
      </c>
    </row>
    <row r="18" customFormat="false" ht="15" hidden="false" customHeight="false" outlineLevel="0" collapsed="false">
      <c r="A18" s="14" t="s">
        <v>828</v>
      </c>
      <c r="B18" s="8" t="s">
        <v>824</v>
      </c>
      <c r="C18" s="8" t="s">
        <v>829</v>
      </c>
      <c r="D18" s="8" t="n">
        <f aca="false">COUNTIF('Control Matrix'!$J$2:$J$70,"*"&amp;A18&amp;"*")</f>
        <v>1</v>
      </c>
      <c r="E18" s="8" t="n">
        <f aca="false">COUNTIFS('Control Matrix'!$J$2:$J$70,"*"&amp;A18&amp;"*",'Control Matrix'!$R$2:$R$70,"Implemented")</f>
        <v>1</v>
      </c>
      <c r="F18" s="8" t="str">
        <f aca="false">IF(D18&gt;0,"Covered","GAP")</f>
        <v>Covered</v>
      </c>
      <c r="G18" s="8" t="str">
        <f aca="false">IF(D18=0,"GAP",IF(E18=D18,"Ready",IF(E18&gt;0,"In progress","Not started")))</f>
        <v>Ready</v>
      </c>
    </row>
    <row r="19" customFormat="false" ht="15" hidden="false" customHeight="false" outlineLevel="0" collapsed="false">
      <c r="A19" s="14" t="s">
        <v>457</v>
      </c>
      <c r="B19" s="8" t="s">
        <v>830</v>
      </c>
      <c r="C19" s="8" t="s">
        <v>831</v>
      </c>
      <c r="D19" s="8" t="n">
        <f aca="false">COUNTIF('Control Matrix'!$J$2:$J$70,"*"&amp;A19&amp;"*")</f>
        <v>16</v>
      </c>
      <c r="E19" s="8" t="n">
        <f aca="false">COUNTIFS('Control Matrix'!$J$2:$J$70,"*"&amp;A19&amp;"*",'Control Matrix'!$R$2:$R$70,"Implemented")</f>
        <v>0</v>
      </c>
      <c r="F19" s="8" t="str">
        <f aca="false">IF(D19&gt;0,"Covered","GAP")</f>
        <v>Covered</v>
      </c>
      <c r="G19" s="8" t="str">
        <f aca="false">IF(D19=0,"GAP",IF(E19=D19,"Ready",IF(E19&gt;0,"In progress","Not started")))</f>
        <v>Not started</v>
      </c>
    </row>
    <row r="20" customFormat="false" ht="15" hidden="false" customHeight="false" outlineLevel="0" collapsed="false">
      <c r="A20" s="14" t="s">
        <v>832</v>
      </c>
      <c r="B20" s="8" t="s">
        <v>830</v>
      </c>
      <c r="C20" s="8" t="s">
        <v>833</v>
      </c>
      <c r="D20" s="8" t="n">
        <f aca="false">COUNTIF('Control Matrix'!$J$2:$J$70,"*"&amp;A20&amp;"*")</f>
        <v>5</v>
      </c>
      <c r="E20" s="8" t="n">
        <f aca="false">COUNTIFS('Control Matrix'!$J$2:$J$70,"*"&amp;A20&amp;"*",'Control Matrix'!$R$2:$R$70,"Implemented")</f>
        <v>0</v>
      </c>
      <c r="F20" s="8" t="str">
        <f aca="false">IF(D20&gt;0,"Covered","GAP")</f>
        <v>Covered</v>
      </c>
      <c r="G20" s="8" t="str">
        <f aca="false">IF(D20=0,"GAP",IF(E20=D20,"Ready",IF(E20&gt;0,"In progress","Not started")))</f>
        <v>Not started</v>
      </c>
    </row>
    <row r="21" customFormat="false" ht="15" hidden="false" customHeight="false" outlineLevel="0" collapsed="false">
      <c r="A21" s="14" t="s">
        <v>834</v>
      </c>
      <c r="B21" s="8" t="s">
        <v>830</v>
      </c>
      <c r="C21" s="8" t="s">
        <v>835</v>
      </c>
      <c r="D21" s="8" t="n">
        <f aca="false">COUNTIF('Control Matrix'!$J$2:$J$70,"*"&amp;A21&amp;"*")</f>
        <v>5</v>
      </c>
      <c r="E21" s="8" t="n">
        <f aca="false">COUNTIFS('Control Matrix'!$J$2:$J$70,"*"&amp;A21&amp;"*",'Control Matrix'!$R$2:$R$70,"Implemented")</f>
        <v>0</v>
      </c>
      <c r="F21" s="8" t="str">
        <f aca="false">IF(D21&gt;0,"Covered","GAP")</f>
        <v>Covered</v>
      </c>
      <c r="G21" s="8" t="str">
        <f aca="false">IF(D21=0,"GAP",IF(E21=D21,"Ready",IF(E21&gt;0,"In progress","Not started")))</f>
        <v>Not started</v>
      </c>
    </row>
    <row r="22" customFormat="false" ht="15" hidden="false" customHeight="false" outlineLevel="0" collapsed="false">
      <c r="A22" s="14" t="s">
        <v>646</v>
      </c>
      <c r="B22" s="8" t="s">
        <v>830</v>
      </c>
      <c r="C22" s="8" t="s">
        <v>836</v>
      </c>
      <c r="D22" s="8" t="n">
        <f aca="false">COUNTIF('Control Matrix'!$J$2:$J$70,"*"&amp;A22&amp;"*")</f>
        <v>1</v>
      </c>
      <c r="E22" s="8" t="n">
        <f aca="false">COUNTIFS('Control Matrix'!$J$2:$J$70,"*"&amp;A22&amp;"*",'Control Matrix'!$R$2:$R$70,"Implemented")</f>
        <v>0</v>
      </c>
      <c r="F22" s="8" t="str">
        <f aca="false">IF(D22&gt;0,"Covered","GAP")</f>
        <v>Covered</v>
      </c>
      <c r="G22" s="8" t="str">
        <f aca="false">IF(D22=0,"GAP",IF(E22=D22,"Ready",IF(E22&gt;0,"In progress","Not started")))</f>
        <v>Not started</v>
      </c>
    </row>
    <row r="23" customFormat="false" ht="15" hidden="false" customHeight="false" outlineLevel="0" collapsed="false">
      <c r="A23" s="14" t="s">
        <v>638</v>
      </c>
      <c r="B23" s="8" t="s">
        <v>830</v>
      </c>
      <c r="C23" s="8" t="s">
        <v>837</v>
      </c>
      <c r="D23" s="8" t="n">
        <f aca="false">COUNTIF('Control Matrix'!$J$2:$J$70,"*"&amp;A23&amp;"*")</f>
        <v>1</v>
      </c>
      <c r="E23" s="8" t="n">
        <f aca="false">COUNTIFS('Control Matrix'!$J$2:$J$70,"*"&amp;A23&amp;"*",'Control Matrix'!$R$2:$R$70,"Implemented")</f>
        <v>0</v>
      </c>
      <c r="F23" s="8" t="str">
        <f aca="false">IF(D23&gt;0,"Covered","GAP")</f>
        <v>Covered</v>
      </c>
      <c r="G23" s="8" t="str">
        <f aca="false">IF(D23=0,"GAP",IF(E23=D23,"Ready",IF(E23&gt;0,"In progress","Not started")))</f>
        <v>Not started</v>
      </c>
    </row>
    <row r="24" customFormat="false" ht="15" hidden="false" customHeight="false" outlineLevel="0" collapsed="false">
      <c r="A24" s="14" t="s">
        <v>838</v>
      </c>
      <c r="B24" s="8" t="s">
        <v>830</v>
      </c>
      <c r="C24" s="8" t="s">
        <v>839</v>
      </c>
      <c r="D24" s="8" t="n">
        <f aca="false">COUNTIF('Control Matrix'!$J$2:$J$70,"*"&amp;A24&amp;"*")</f>
        <v>1</v>
      </c>
      <c r="E24" s="8" t="n">
        <f aca="false">COUNTIFS('Control Matrix'!$J$2:$J$70,"*"&amp;A24&amp;"*",'Control Matrix'!$R$2:$R$70,"Implemented")</f>
        <v>0</v>
      </c>
      <c r="F24" s="8" t="str">
        <f aca="false">IF(D24&gt;0,"Covered","GAP")</f>
        <v>Covered</v>
      </c>
      <c r="G24" s="8" t="str">
        <f aca="false">IF(D24=0,"GAP",IF(E24=D24,"Ready",IF(E24&gt;0,"In progress","Not started")))</f>
        <v>Not started</v>
      </c>
    </row>
    <row r="25" customFormat="false" ht="15" hidden="false" customHeight="false" outlineLevel="0" collapsed="false">
      <c r="A25" s="14" t="s">
        <v>653</v>
      </c>
      <c r="B25" s="8" t="s">
        <v>830</v>
      </c>
      <c r="C25" s="8" t="s">
        <v>840</v>
      </c>
      <c r="D25" s="8" t="n">
        <f aca="false">COUNTIF('Control Matrix'!$J$2:$J$70,"*"&amp;A25&amp;"*")</f>
        <v>5</v>
      </c>
      <c r="E25" s="8" t="n">
        <f aca="false">COUNTIFS('Control Matrix'!$J$2:$J$70,"*"&amp;A25&amp;"*",'Control Matrix'!$R$2:$R$70,"Implemented")</f>
        <v>0</v>
      </c>
      <c r="F25" s="8" t="str">
        <f aca="false">IF(D25&gt;0,"Covered","GAP")</f>
        <v>Covered</v>
      </c>
      <c r="G25" s="8" t="str">
        <f aca="false">IF(D25=0,"GAP",IF(E25=D25,"Ready",IF(E25&gt;0,"In progress","Not started")))</f>
        <v>Not started</v>
      </c>
    </row>
    <row r="26" customFormat="false" ht="15" hidden="false" customHeight="false" outlineLevel="0" collapsed="false">
      <c r="A26" s="14" t="s">
        <v>841</v>
      </c>
      <c r="B26" s="8" t="s">
        <v>830</v>
      </c>
      <c r="C26" s="8" t="s">
        <v>842</v>
      </c>
      <c r="D26" s="8" t="n">
        <f aca="false">COUNTIF('Control Matrix'!$J$2:$J$70,"*"&amp;A26&amp;"*")</f>
        <v>5</v>
      </c>
      <c r="E26" s="8" t="n">
        <f aca="false">COUNTIFS('Control Matrix'!$J$2:$J$70,"*"&amp;A26&amp;"*",'Control Matrix'!$R$2:$R$70,"Implemented")</f>
        <v>0</v>
      </c>
      <c r="F26" s="8" t="str">
        <f aca="false">IF(D26&gt;0,"Covered","GAP")</f>
        <v>Covered</v>
      </c>
      <c r="G26" s="8" t="str">
        <f aca="false">IF(D26=0,"GAP",IF(E26=D26,"Ready",IF(E26&gt;0,"In progress","Not started")))</f>
        <v>Not started</v>
      </c>
    </row>
    <row r="27" customFormat="false" ht="23.85" hidden="false" customHeight="false" outlineLevel="0" collapsed="false">
      <c r="A27" s="14" t="s">
        <v>678</v>
      </c>
      <c r="B27" s="8" t="s">
        <v>843</v>
      </c>
      <c r="C27" s="8" t="s">
        <v>844</v>
      </c>
      <c r="D27" s="8" t="n">
        <f aca="false">COUNTIF('Control Matrix'!$J$2:$J$70,"*"&amp;A27&amp;"*")</f>
        <v>7</v>
      </c>
      <c r="E27" s="8" t="n">
        <f aca="false">COUNTIFS('Control Matrix'!$J$2:$J$70,"*"&amp;A27&amp;"*",'Control Matrix'!$R$2:$R$70,"Implemented")</f>
        <v>0</v>
      </c>
      <c r="F27" s="8" t="str">
        <f aca="false">IF(D27&gt;0,"Covered","GAP")</f>
        <v>Covered</v>
      </c>
      <c r="G27" s="8" t="str">
        <f aca="false">IF(D27=0,"GAP",IF(E27=D27,"Ready",IF(E27&gt;0,"In progress","Not started")))</f>
        <v>Not started</v>
      </c>
    </row>
    <row r="28" customFormat="false" ht="15" hidden="false" customHeight="false" outlineLevel="0" collapsed="false">
      <c r="A28" s="14" t="s">
        <v>845</v>
      </c>
      <c r="B28" s="8" t="s">
        <v>843</v>
      </c>
      <c r="C28" s="8" t="s">
        <v>846</v>
      </c>
      <c r="D28" s="8" t="n">
        <f aca="false">COUNTIF('Control Matrix'!$J$2:$J$70,"*"&amp;A28&amp;"*")</f>
        <v>6</v>
      </c>
      <c r="E28" s="8" t="n">
        <f aca="false">COUNTIFS('Control Matrix'!$J$2:$J$70,"*"&amp;A28&amp;"*",'Control Matrix'!$R$2:$R$70,"Implemented")</f>
        <v>0</v>
      </c>
      <c r="F28" s="8" t="str">
        <f aca="false">IF(D28&gt;0,"Covered","GAP")</f>
        <v>Covered</v>
      </c>
      <c r="G28" s="8" t="str">
        <f aca="false">IF(D28=0,"GAP",IF(E28=D28,"Ready",IF(E28&gt;0,"In progress","Not started")))</f>
        <v>Not started</v>
      </c>
    </row>
    <row r="29" customFormat="false" ht="15" hidden="false" customHeight="false" outlineLevel="0" collapsed="false">
      <c r="A29" s="14" t="s">
        <v>722</v>
      </c>
      <c r="B29" s="8" t="s">
        <v>843</v>
      </c>
      <c r="C29" s="8" t="s">
        <v>847</v>
      </c>
      <c r="D29" s="8" t="n">
        <f aca="false">COUNTIF('Control Matrix'!$J$2:$J$70,"*"&amp;A29&amp;"*")</f>
        <v>4</v>
      </c>
      <c r="E29" s="8" t="n">
        <f aca="false">COUNTIFS('Control Matrix'!$J$2:$J$70,"*"&amp;A29&amp;"*",'Control Matrix'!$R$2:$R$70,"Implemented")</f>
        <v>0</v>
      </c>
      <c r="F29" s="8" t="str">
        <f aca="false">IF(D29&gt;0,"Covered","GAP")</f>
        <v>Covered</v>
      </c>
      <c r="G29" s="8" t="str">
        <f aca="false">IF(D29=0,"GAP",IF(E29=D29,"Ready",IF(E29&gt;0,"In progress","Not started")))</f>
        <v>Not started</v>
      </c>
    </row>
    <row r="30" customFormat="false" ht="15" hidden="false" customHeight="false" outlineLevel="0" collapsed="false">
      <c r="A30" s="14" t="s">
        <v>848</v>
      </c>
      <c r="B30" s="8" t="s">
        <v>843</v>
      </c>
      <c r="C30" s="8" t="s">
        <v>849</v>
      </c>
      <c r="D30" s="8" t="n">
        <f aca="false">COUNTIF('Control Matrix'!$J$2:$J$70,"*"&amp;A30&amp;"*")</f>
        <v>4</v>
      </c>
      <c r="E30" s="8" t="n">
        <f aca="false">COUNTIFS('Control Matrix'!$J$2:$J$70,"*"&amp;A30&amp;"*",'Control Matrix'!$R$2:$R$70,"Implemented")</f>
        <v>0</v>
      </c>
      <c r="F30" s="8" t="str">
        <f aca="false">IF(D30&gt;0,"Covered","GAP")</f>
        <v>Covered</v>
      </c>
      <c r="G30" s="8" t="str">
        <f aca="false">IF(D30=0,"GAP",IF(E30=D30,"Ready",IF(E30&gt;0,"In progress","Not started")))</f>
        <v>Not started</v>
      </c>
    </row>
    <row r="31" customFormat="false" ht="15" hidden="false" customHeight="false" outlineLevel="0" collapsed="false">
      <c r="A31" s="14" t="s">
        <v>850</v>
      </c>
      <c r="B31" s="8" t="s">
        <v>843</v>
      </c>
      <c r="C31" s="8" t="s">
        <v>851</v>
      </c>
      <c r="D31" s="8" t="n">
        <f aca="false">COUNTIF('Control Matrix'!$J$2:$J$70,"*"&amp;A31&amp;"*")</f>
        <v>7</v>
      </c>
      <c r="E31" s="8" t="n">
        <f aca="false">COUNTIFS('Control Matrix'!$J$2:$J$70,"*"&amp;A31&amp;"*",'Control Matrix'!$R$2:$R$70,"Implemented")</f>
        <v>0</v>
      </c>
      <c r="F31" s="8" t="str">
        <f aca="false">IF(D31&gt;0,"Covered","GAP")</f>
        <v>Covered</v>
      </c>
      <c r="G31" s="8" t="str">
        <f aca="false">IF(D31=0,"GAP",IF(E31=D31,"Ready",IF(E31&gt;0,"In progress","Not started")))</f>
        <v>Not started</v>
      </c>
    </row>
    <row r="32" customFormat="false" ht="23.85" hidden="false" customHeight="false" outlineLevel="0" collapsed="false">
      <c r="A32" s="14" t="s">
        <v>481</v>
      </c>
      <c r="B32" s="8" t="s">
        <v>195</v>
      </c>
      <c r="C32" s="8" t="s">
        <v>852</v>
      </c>
      <c r="D32" s="8" t="n">
        <f aca="false">COUNTIF('Control Matrix'!$J$2:$J$70,"*"&amp;A32&amp;"*")</f>
        <v>12</v>
      </c>
      <c r="E32" s="8" t="n">
        <f aca="false">COUNTIFS('Control Matrix'!$J$2:$J$70,"*"&amp;A32&amp;"*",'Control Matrix'!$R$2:$R$70,"Implemented")</f>
        <v>0</v>
      </c>
      <c r="F32" s="8" t="str">
        <f aca="false">IF(D32&gt;0,"Covered","GAP")</f>
        <v>Covered</v>
      </c>
      <c r="G32" s="8" t="str">
        <f aca="false">IF(D32=0,"GAP",IF(E32=D32,"Ready",IF(E32&gt;0,"In progress","Not started")))</f>
        <v>Not started</v>
      </c>
    </row>
    <row r="33" customFormat="false" ht="15" hidden="false" customHeight="false" outlineLevel="0" collapsed="false">
      <c r="A33" s="14" t="s">
        <v>364</v>
      </c>
      <c r="B33" s="8" t="s">
        <v>853</v>
      </c>
      <c r="C33" s="8" t="s">
        <v>854</v>
      </c>
      <c r="D33" s="8" t="n">
        <f aca="false">COUNTIF('Control Matrix'!$J$2:$J$70,"*"&amp;A33&amp;"*")</f>
        <v>7</v>
      </c>
      <c r="E33" s="8" t="n">
        <f aca="false">COUNTIFS('Control Matrix'!$J$2:$J$70,"*"&amp;A33&amp;"*",'Control Matrix'!$R$2:$R$70,"Implemented")</f>
        <v>0</v>
      </c>
      <c r="F33" s="8" t="str">
        <f aca="false">IF(D33&gt;0,"Covered","GAP")</f>
        <v>Covered</v>
      </c>
      <c r="G33" s="8" t="str">
        <f aca="false">IF(D33=0,"GAP",IF(E33=D33,"Ready",IF(E33&gt;0,"In progress","Not started")))</f>
        <v>Not started</v>
      </c>
    </row>
    <row r="34" customFormat="false" ht="15" hidden="false" customHeight="false" outlineLevel="0" collapsed="false">
      <c r="A34" s="14" t="s">
        <v>371</v>
      </c>
      <c r="B34" s="8" t="s">
        <v>853</v>
      </c>
      <c r="C34" s="8" t="s">
        <v>855</v>
      </c>
      <c r="D34" s="8" t="n">
        <f aca="false">COUNTIF('Control Matrix'!$J$2:$J$70,"*"&amp;A34&amp;"*")</f>
        <v>3</v>
      </c>
      <c r="E34" s="8" t="n">
        <f aca="false">COUNTIFS('Control Matrix'!$J$2:$J$70,"*"&amp;A34&amp;"*",'Control Matrix'!$R$2:$R$70,"Implemented")</f>
        <v>0</v>
      </c>
      <c r="F34" s="8" t="str">
        <f aca="false">IF(D34&gt;0,"Covered","GAP")</f>
        <v>Covered</v>
      </c>
      <c r="G34" s="8" t="str">
        <f aca="false">IF(D34=0,"GAP",IF(E34=D34,"Ready",IF(E34&gt;0,"In progress","Not started")))</f>
        <v>Not started</v>
      </c>
    </row>
    <row r="36" customFormat="false" ht="15" hidden="false" customHeight="false" outlineLevel="0" collapsed="false">
      <c r="A36" s="3" t="s">
        <v>856</v>
      </c>
    </row>
    <row r="37" customFormat="false" ht="15" hidden="false" customHeight="false" outlineLevel="0" collapsed="false">
      <c r="A37" s="17" t="s">
        <v>796</v>
      </c>
      <c r="B37" s="18" t="s">
        <v>857</v>
      </c>
      <c r="C37" s="18"/>
    </row>
    <row r="38" customFormat="false" ht="15" hidden="false" customHeight="false" outlineLevel="0" collapsed="false">
      <c r="A38" s="17" t="s">
        <v>799</v>
      </c>
      <c r="B38" s="18" t="s">
        <v>241</v>
      </c>
      <c r="C38" s="18"/>
    </row>
    <row r="39" customFormat="false" ht="15" hidden="false" customHeight="false" outlineLevel="0" collapsed="false">
      <c r="A39" s="17" t="s">
        <v>255</v>
      </c>
      <c r="B39" s="18" t="s">
        <v>858</v>
      </c>
      <c r="C39" s="18"/>
    </row>
    <row r="40" customFormat="false" ht="15" hidden="false" customHeight="false" outlineLevel="0" collapsed="false">
      <c r="A40" s="17" t="s">
        <v>306</v>
      </c>
      <c r="B40" s="18" t="s">
        <v>859</v>
      </c>
      <c r="C40" s="18"/>
    </row>
    <row r="41" customFormat="false" ht="15" hidden="false" customHeight="false" outlineLevel="0" collapsed="false">
      <c r="A41" s="17" t="s">
        <v>336</v>
      </c>
      <c r="B41" s="18" t="s">
        <v>860</v>
      </c>
      <c r="C41" s="18"/>
    </row>
    <row r="42" customFormat="false" ht="15" hidden="false" customHeight="false" outlineLevel="0" collapsed="false">
      <c r="A42" s="17" t="s">
        <v>804</v>
      </c>
      <c r="B42" s="18" t="s">
        <v>861</v>
      </c>
      <c r="C42" s="18"/>
    </row>
    <row r="43" customFormat="false" ht="15" hidden="false" customHeight="false" outlineLevel="0" collapsed="false">
      <c r="A43" s="17" t="s">
        <v>807</v>
      </c>
      <c r="B43" s="18" t="s">
        <v>862</v>
      </c>
      <c r="C43" s="18"/>
    </row>
    <row r="44" customFormat="false" ht="15" hidden="false" customHeight="false" outlineLevel="0" collapsed="false">
      <c r="A44" s="17" t="s">
        <v>282</v>
      </c>
      <c r="B44" s="18" t="s">
        <v>863</v>
      </c>
      <c r="C44" s="18"/>
    </row>
    <row r="45" customFormat="false" ht="15" hidden="false" customHeight="false" outlineLevel="0" collapsed="false">
      <c r="A45" s="17" t="s">
        <v>349</v>
      </c>
      <c r="B45" s="18" t="s">
        <v>864</v>
      </c>
      <c r="C45" s="18"/>
    </row>
    <row r="46" customFormat="false" ht="15" hidden="false" customHeight="false" outlineLevel="0" collapsed="false">
      <c r="A46" s="17" t="s">
        <v>812</v>
      </c>
      <c r="B46" s="18" t="s">
        <v>865</v>
      </c>
      <c r="C46" s="18"/>
    </row>
    <row r="47" customFormat="false" ht="15" hidden="false" customHeight="false" outlineLevel="0" collapsed="false">
      <c r="A47" s="17" t="s">
        <v>814</v>
      </c>
      <c r="B47" s="18" t="s">
        <v>339</v>
      </c>
      <c r="C47" s="18"/>
    </row>
    <row r="48" customFormat="false" ht="15" hidden="false" customHeight="false" outlineLevel="0" collapsed="false">
      <c r="A48" s="17" t="s">
        <v>816</v>
      </c>
      <c r="B48" s="18" t="s">
        <v>866</v>
      </c>
      <c r="C48" s="18"/>
    </row>
    <row r="49" customFormat="false" ht="15" hidden="false" customHeight="false" outlineLevel="0" collapsed="false">
      <c r="A49" s="17" t="s">
        <v>818</v>
      </c>
      <c r="B49" s="18" t="s">
        <v>867</v>
      </c>
      <c r="C49" s="18"/>
    </row>
    <row r="50" customFormat="false" ht="15" hidden="false" customHeight="false" outlineLevel="0" collapsed="false">
      <c r="A50" s="17" t="s">
        <v>821</v>
      </c>
      <c r="B50" s="18" t="s">
        <v>868</v>
      </c>
      <c r="C50" s="18"/>
    </row>
    <row r="51" customFormat="false" ht="15" hidden="false" customHeight="false" outlineLevel="0" collapsed="false">
      <c r="A51" s="17" t="s">
        <v>823</v>
      </c>
      <c r="B51" s="18" t="s">
        <v>869</v>
      </c>
      <c r="C51" s="18"/>
    </row>
    <row r="52" customFormat="false" ht="15" hidden="false" customHeight="false" outlineLevel="0" collapsed="false">
      <c r="A52" s="17" t="s">
        <v>826</v>
      </c>
      <c r="B52" s="18" t="s">
        <v>870</v>
      </c>
      <c r="C52" s="18"/>
    </row>
    <row r="53" customFormat="false" ht="15" hidden="false" customHeight="false" outlineLevel="0" collapsed="false">
      <c r="A53" s="17" t="s">
        <v>828</v>
      </c>
      <c r="B53" s="18" t="s">
        <v>64</v>
      </c>
      <c r="C53" s="18"/>
    </row>
    <row r="54" customFormat="false" ht="15" hidden="false" customHeight="false" outlineLevel="0" collapsed="false">
      <c r="A54" s="17" t="s">
        <v>457</v>
      </c>
      <c r="B54" s="18" t="s">
        <v>871</v>
      </c>
      <c r="C54" s="18"/>
    </row>
    <row r="55" customFormat="false" ht="15" hidden="false" customHeight="false" outlineLevel="0" collapsed="false">
      <c r="A55" s="17" t="s">
        <v>832</v>
      </c>
      <c r="B55" s="18" t="s">
        <v>872</v>
      </c>
      <c r="C55" s="18"/>
    </row>
    <row r="56" customFormat="false" ht="15" hidden="false" customHeight="false" outlineLevel="0" collapsed="false">
      <c r="A56" s="17" t="s">
        <v>834</v>
      </c>
      <c r="B56" s="18" t="s">
        <v>873</v>
      </c>
      <c r="C56" s="18"/>
    </row>
    <row r="57" customFormat="false" ht="15" hidden="false" customHeight="false" outlineLevel="0" collapsed="false">
      <c r="A57" s="17" t="s">
        <v>646</v>
      </c>
      <c r="B57" s="18" t="s">
        <v>642</v>
      </c>
      <c r="C57" s="18"/>
    </row>
    <row r="58" customFormat="false" ht="15" hidden="false" customHeight="false" outlineLevel="0" collapsed="false">
      <c r="A58" s="17" t="s">
        <v>638</v>
      </c>
      <c r="B58" s="18" t="s">
        <v>634</v>
      </c>
      <c r="C58" s="18"/>
    </row>
    <row r="59" customFormat="false" ht="15" hidden="false" customHeight="false" outlineLevel="0" collapsed="false">
      <c r="A59" s="17" t="s">
        <v>838</v>
      </c>
      <c r="B59" s="18" t="s">
        <v>585</v>
      </c>
      <c r="C59" s="18"/>
    </row>
    <row r="60" customFormat="false" ht="15" hidden="false" customHeight="false" outlineLevel="0" collapsed="false">
      <c r="A60" s="17" t="s">
        <v>653</v>
      </c>
      <c r="B60" s="18" t="s">
        <v>874</v>
      </c>
      <c r="C60" s="18"/>
    </row>
    <row r="61" customFormat="false" ht="15" hidden="false" customHeight="false" outlineLevel="0" collapsed="false">
      <c r="A61" s="17" t="s">
        <v>841</v>
      </c>
      <c r="B61" s="18" t="s">
        <v>875</v>
      </c>
      <c r="C61" s="18"/>
    </row>
    <row r="62" customFormat="false" ht="15" hidden="false" customHeight="false" outlineLevel="0" collapsed="false">
      <c r="A62" s="17" t="s">
        <v>678</v>
      </c>
      <c r="B62" s="18" t="s">
        <v>876</v>
      </c>
      <c r="C62" s="18"/>
    </row>
    <row r="63" customFormat="false" ht="15" hidden="false" customHeight="false" outlineLevel="0" collapsed="false">
      <c r="A63" s="17" t="s">
        <v>845</v>
      </c>
      <c r="B63" s="18" t="s">
        <v>877</v>
      </c>
      <c r="C63" s="18"/>
    </row>
    <row r="64" customFormat="false" ht="15" hidden="false" customHeight="false" outlineLevel="0" collapsed="false">
      <c r="A64" s="17" t="s">
        <v>722</v>
      </c>
      <c r="B64" s="18" t="s">
        <v>878</v>
      </c>
      <c r="C64" s="18"/>
    </row>
    <row r="65" customFormat="false" ht="15" hidden="false" customHeight="false" outlineLevel="0" collapsed="false">
      <c r="A65" s="17" t="s">
        <v>848</v>
      </c>
      <c r="B65" s="18" t="s">
        <v>879</v>
      </c>
      <c r="C65" s="18"/>
    </row>
    <row r="66" customFormat="false" ht="15" hidden="false" customHeight="false" outlineLevel="0" collapsed="false">
      <c r="A66" s="17" t="s">
        <v>850</v>
      </c>
      <c r="B66" s="18" t="s">
        <v>880</v>
      </c>
      <c r="C66" s="18"/>
    </row>
    <row r="67" customFormat="false" ht="15" hidden="false" customHeight="false" outlineLevel="0" collapsed="false">
      <c r="A67" s="17" t="s">
        <v>481</v>
      </c>
      <c r="B67" s="18" t="s">
        <v>881</v>
      </c>
      <c r="C67" s="18"/>
    </row>
    <row r="68" customFormat="false" ht="15" hidden="false" customHeight="false" outlineLevel="0" collapsed="false">
      <c r="A68" s="17" t="s">
        <v>364</v>
      </c>
      <c r="B68" s="18" t="s">
        <v>882</v>
      </c>
      <c r="C68" s="18"/>
    </row>
    <row r="69" customFormat="false" ht="15" hidden="false" customHeight="false" outlineLevel="0" collapsed="false">
      <c r="A69" s="17" t="s">
        <v>371</v>
      </c>
      <c r="B69" s="18" t="s">
        <v>883</v>
      </c>
      <c r="C69" s="18"/>
    </row>
  </sheetData>
  <autoFilter ref="A1:G1"/>
  <mergeCells count="33"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</mergeCells>
  <conditionalFormatting sqref="F2:F34">
    <cfRule type="cellIs" priority="2" operator="equal" aboveAverage="0" equalAverage="0" bottom="0" percent="0" rank="0" text="" dxfId="2">
      <formula>"Covered"</formula>
    </cfRule>
    <cfRule type="cellIs" priority="3" operator="equal" aboveAverage="0" equalAverage="0" bottom="0" percent="0" rank="0" text="" dxfId="4">
      <formula>"GAP"</formula>
    </cfRule>
  </conditionalFormatting>
  <conditionalFormatting sqref="G2:G34">
    <cfRule type="cellIs" priority="4" operator="equal" aboveAverage="0" equalAverage="0" bottom="0" percent="0" rank="0" text="" dxfId="2">
      <formula>"Ready"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4">
      <formula>"Not started"</formula>
    </cfRule>
    <cfRule type="cellIs" priority="7" operator="equal" aboveAverage="0" equalAverage="0" bottom="0" percent="0" rank="0" text="" dxfId="5">
      <formula>"GAP"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7" min="6" style="0" width="38"/>
    <col collapsed="false" customWidth="true" hidden="false" outlineLevel="0" max="8" min="8" style="0" width="28"/>
    <col collapsed="false" customWidth="true" hidden="false" outlineLevel="0" max="9" min="9" style="0" width="30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" t="s">
        <v>884</v>
      </c>
      <c r="B1" s="7" t="s">
        <v>43</v>
      </c>
      <c r="C1" s="7" t="s">
        <v>790</v>
      </c>
      <c r="D1" s="7" t="s">
        <v>885</v>
      </c>
      <c r="E1" s="7" t="s">
        <v>886</v>
      </c>
      <c r="F1" s="7" t="s">
        <v>887</v>
      </c>
      <c r="G1" s="7" t="s">
        <v>888</v>
      </c>
      <c r="H1" s="7" t="s">
        <v>889</v>
      </c>
      <c r="I1" s="7" t="s">
        <v>890</v>
      </c>
      <c r="J1" s="7" t="s">
        <v>891</v>
      </c>
      <c r="K1" s="7" t="s">
        <v>892</v>
      </c>
      <c r="L1" s="7" t="s">
        <v>893</v>
      </c>
    </row>
    <row r="2" customFormat="false" ht="60" hidden="false" customHeight="true" outlineLevel="0" collapsed="false">
      <c r="A2" s="14" t="s">
        <v>66</v>
      </c>
      <c r="B2" s="8" t="s">
        <v>894</v>
      </c>
      <c r="C2" s="8" t="s">
        <v>895</v>
      </c>
      <c r="D2" s="8" t="s">
        <v>896</v>
      </c>
      <c r="E2" s="19" t="s">
        <v>897</v>
      </c>
      <c r="F2" s="8" t="s">
        <v>898</v>
      </c>
      <c r="G2" s="8" t="s">
        <v>899</v>
      </c>
      <c r="H2" s="8" t="s">
        <v>900</v>
      </c>
      <c r="I2" s="8" t="s">
        <v>901</v>
      </c>
      <c r="J2" s="8" t="s">
        <v>902</v>
      </c>
      <c r="K2" s="8" t="s">
        <v>903</v>
      </c>
      <c r="L2" s="9"/>
    </row>
    <row r="3" customFormat="false" ht="60" hidden="false" customHeight="true" outlineLevel="0" collapsed="false">
      <c r="A3" s="14" t="s">
        <v>80</v>
      </c>
      <c r="B3" s="8" t="s">
        <v>904</v>
      </c>
      <c r="C3" s="8" t="s">
        <v>895</v>
      </c>
      <c r="D3" s="8" t="s">
        <v>905</v>
      </c>
      <c r="E3" s="19" t="s">
        <v>79</v>
      </c>
      <c r="F3" s="8" t="s">
        <v>906</v>
      </c>
      <c r="G3" s="8" t="s">
        <v>907</v>
      </c>
      <c r="H3" s="8" t="s">
        <v>908</v>
      </c>
      <c r="I3" s="8" t="s">
        <v>909</v>
      </c>
      <c r="J3" s="8" t="s">
        <v>910</v>
      </c>
      <c r="K3" s="8" t="s">
        <v>911</v>
      </c>
      <c r="L3" s="9"/>
    </row>
    <row r="4" customFormat="false" ht="60" hidden="false" customHeight="true" outlineLevel="0" collapsed="false">
      <c r="A4" s="14" t="s">
        <v>912</v>
      </c>
      <c r="B4" s="8" t="s">
        <v>913</v>
      </c>
      <c r="C4" s="8" t="s">
        <v>895</v>
      </c>
      <c r="D4" s="8" t="s">
        <v>914</v>
      </c>
      <c r="E4" s="9"/>
      <c r="F4" s="8" t="s">
        <v>915</v>
      </c>
      <c r="G4" s="8" t="s">
        <v>916</v>
      </c>
      <c r="H4" s="8" t="s">
        <v>917</v>
      </c>
      <c r="I4" s="8" t="s">
        <v>918</v>
      </c>
      <c r="J4" s="8" t="s">
        <v>919</v>
      </c>
      <c r="K4" s="8" t="s">
        <v>920</v>
      </c>
      <c r="L4" s="9"/>
    </row>
    <row r="5" customFormat="false" ht="60" hidden="false" customHeight="true" outlineLevel="0" collapsed="false">
      <c r="A5" s="14" t="s">
        <v>121</v>
      </c>
      <c r="B5" s="8" t="s">
        <v>921</v>
      </c>
      <c r="C5" s="8" t="s">
        <v>196</v>
      </c>
      <c r="D5" s="8" t="s">
        <v>922</v>
      </c>
      <c r="E5" s="9"/>
      <c r="F5" s="8" t="s">
        <v>923</v>
      </c>
      <c r="G5" s="8" t="s">
        <v>924</v>
      </c>
      <c r="H5" s="8" t="s">
        <v>925</v>
      </c>
      <c r="I5" s="8" t="s">
        <v>926</v>
      </c>
      <c r="J5" s="8" t="s">
        <v>927</v>
      </c>
      <c r="K5" s="8" t="s">
        <v>928</v>
      </c>
      <c r="L5" s="9"/>
    </row>
    <row r="6" customFormat="false" ht="60" hidden="false" customHeight="true" outlineLevel="0" collapsed="false">
      <c r="A6" s="14" t="s">
        <v>132</v>
      </c>
      <c r="B6" s="8" t="s">
        <v>929</v>
      </c>
      <c r="C6" s="8" t="s">
        <v>196</v>
      </c>
      <c r="D6" s="8" t="s">
        <v>930</v>
      </c>
      <c r="E6" s="9"/>
      <c r="F6" s="8" t="s">
        <v>931</v>
      </c>
      <c r="G6" s="8" t="s">
        <v>932</v>
      </c>
      <c r="H6" s="8" t="s">
        <v>933</v>
      </c>
      <c r="I6" s="8" t="s">
        <v>934</v>
      </c>
      <c r="J6" s="8" t="s">
        <v>935</v>
      </c>
      <c r="K6" s="8" t="s">
        <v>936</v>
      </c>
      <c r="L6" s="9"/>
    </row>
    <row r="7" customFormat="false" ht="60" hidden="false" customHeight="true" outlineLevel="0" collapsed="false">
      <c r="A7" s="14" t="s">
        <v>137</v>
      </c>
      <c r="B7" s="8" t="s">
        <v>937</v>
      </c>
      <c r="C7" s="8" t="s">
        <v>196</v>
      </c>
      <c r="D7" s="8" t="s">
        <v>938</v>
      </c>
      <c r="E7" s="9"/>
      <c r="F7" s="8" t="s">
        <v>939</v>
      </c>
      <c r="G7" s="8" t="s">
        <v>940</v>
      </c>
      <c r="H7" s="8" t="s">
        <v>941</v>
      </c>
      <c r="I7" s="8" t="s">
        <v>942</v>
      </c>
      <c r="J7" s="8" t="s">
        <v>943</v>
      </c>
      <c r="K7" s="8" t="s">
        <v>944</v>
      </c>
      <c r="L7" s="9"/>
    </row>
    <row r="8" customFormat="false" ht="60" hidden="false" customHeight="true" outlineLevel="0" collapsed="false">
      <c r="A8" s="14" t="s">
        <v>102</v>
      </c>
      <c r="B8" s="8" t="s">
        <v>945</v>
      </c>
      <c r="C8" s="8" t="s">
        <v>101</v>
      </c>
      <c r="D8" s="8" t="s">
        <v>946</v>
      </c>
      <c r="E8" s="9"/>
      <c r="F8" s="8" t="s">
        <v>947</v>
      </c>
      <c r="G8" s="8" t="s">
        <v>948</v>
      </c>
      <c r="H8" s="8" t="s">
        <v>949</v>
      </c>
      <c r="I8" s="8" t="s">
        <v>950</v>
      </c>
      <c r="J8" s="8" t="s">
        <v>951</v>
      </c>
      <c r="K8" s="8" t="s">
        <v>952</v>
      </c>
      <c r="L8" s="9"/>
    </row>
    <row r="9" customFormat="false" ht="60" hidden="false" customHeight="true" outlineLevel="0" collapsed="false">
      <c r="A9" s="14" t="s">
        <v>113</v>
      </c>
      <c r="B9" s="8" t="s">
        <v>113</v>
      </c>
      <c r="C9" s="8" t="s">
        <v>101</v>
      </c>
      <c r="D9" s="8" t="s">
        <v>953</v>
      </c>
      <c r="E9" s="9"/>
      <c r="F9" s="8" t="s">
        <v>954</v>
      </c>
      <c r="G9" s="8" t="s">
        <v>955</v>
      </c>
      <c r="H9" s="8" t="s">
        <v>956</v>
      </c>
      <c r="I9" s="8" t="s">
        <v>957</v>
      </c>
      <c r="J9" s="8" t="s">
        <v>958</v>
      </c>
      <c r="K9" s="8" t="s">
        <v>959</v>
      </c>
      <c r="L9" s="9"/>
    </row>
    <row r="10" customFormat="false" ht="60" hidden="false" customHeight="true" outlineLevel="0" collapsed="false">
      <c r="A10" s="14" t="s">
        <v>153</v>
      </c>
      <c r="B10" s="8" t="s">
        <v>960</v>
      </c>
      <c r="C10" s="8" t="s">
        <v>152</v>
      </c>
      <c r="D10" s="8" t="s">
        <v>961</v>
      </c>
      <c r="E10" s="9"/>
      <c r="F10" s="8" t="s">
        <v>962</v>
      </c>
      <c r="G10" s="8" t="s">
        <v>963</v>
      </c>
      <c r="H10" s="8" t="s">
        <v>964</v>
      </c>
      <c r="I10" s="8" t="s">
        <v>965</v>
      </c>
      <c r="J10" s="8" t="s">
        <v>966</v>
      </c>
      <c r="K10" s="8" t="s">
        <v>967</v>
      </c>
      <c r="L10" s="9"/>
    </row>
    <row r="11" customFormat="false" ht="60" hidden="false" customHeight="true" outlineLevel="0" collapsed="false">
      <c r="A11" s="14" t="s">
        <v>157</v>
      </c>
      <c r="B11" s="8" t="s">
        <v>968</v>
      </c>
      <c r="C11" s="8" t="s">
        <v>152</v>
      </c>
      <c r="D11" s="8" t="s">
        <v>969</v>
      </c>
      <c r="E11" s="9"/>
      <c r="F11" s="8" t="s">
        <v>954</v>
      </c>
      <c r="G11" s="8" t="s">
        <v>970</v>
      </c>
      <c r="H11" s="8" t="s">
        <v>971</v>
      </c>
      <c r="I11" s="8" t="s">
        <v>972</v>
      </c>
      <c r="J11" s="8" t="s">
        <v>973</v>
      </c>
      <c r="K11" s="8" t="s">
        <v>709</v>
      </c>
      <c r="L11" s="9"/>
    </row>
    <row r="12" customFormat="false" ht="60" hidden="false" customHeight="true" outlineLevel="0" collapsed="false">
      <c r="A12" s="14" t="s">
        <v>974</v>
      </c>
      <c r="B12" s="8" t="s">
        <v>975</v>
      </c>
      <c r="C12" s="8" t="s">
        <v>152</v>
      </c>
      <c r="D12" s="8" t="s">
        <v>976</v>
      </c>
      <c r="E12" s="9"/>
      <c r="F12" s="8" t="s">
        <v>954</v>
      </c>
      <c r="G12" s="8" t="s">
        <v>977</v>
      </c>
      <c r="H12" s="8" t="s">
        <v>978</v>
      </c>
      <c r="I12" s="8" t="s">
        <v>979</v>
      </c>
      <c r="J12" s="8" t="s">
        <v>980</v>
      </c>
      <c r="K12" s="8" t="s">
        <v>160</v>
      </c>
      <c r="L12" s="9"/>
    </row>
    <row r="13" customFormat="false" ht="60" hidden="false" customHeight="true" outlineLevel="0" collapsed="false">
      <c r="A13" s="14" t="s">
        <v>91</v>
      </c>
      <c r="B13" s="8" t="s">
        <v>981</v>
      </c>
      <c r="C13" s="8" t="s">
        <v>982</v>
      </c>
      <c r="D13" s="8" t="s">
        <v>983</v>
      </c>
      <c r="E13" s="19" t="s">
        <v>984</v>
      </c>
      <c r="F13" s="8" t="s">
        <v>985</v>
      </c>
      <c r="G13" s="8" t="s">
        <v>986</v>
      </c>
      <c r="H13" s="8" t="s">
        <v>987</v>
      </c>
      <c r="I13" s="8" t="s">
        <v>988</v>
      </c>
      <c r="J13" s="8" t="s">
        <v>989</v>
      </c>
      <c r="K13" s="8" t="s">
        <v>990</v>
      </c>
      <c r="L13" s="9"/>
    </row>
    <row r="14" customFormat="false" ht="60" hidden="false" customHeight="true" outlineLevel="0" collapsed="false">
      <c r="A14" s="14" t="s">
        <v>146</v>
      </c>
      <c r="B14" s="8" t="s">
        <v>991</v>
      </c>
      <c r="C14" s="8" t="s">
        <v>141</v>
      </c>
      <c r="D14" s="8" t="s">
        <v>992</v>
      </c>
      <c r="E14" s="9"/>
      <c r="F14" s="8" t="s">
        <v>993</v>
      </c>
      <c r="G14" s="8" t="s">
        <v>994</v>
      </c>
      <c r="H14" s="8" t="s">
        <v>995</v>
      </c>
      <c r="I14" s="8" t="s">
        <v>996</v>
      </c>
      <c r="J14" s="8" t="s">
        <v>997</v>
      </c>
      <c r="K14" s="8" t="s">
        <v>998</v>
      </c>
      <c r="L14" s="9"/>
    </row>
    <row r="15" customFormat="false" ht="60" hidden="false" customHeight="true" outlineLevel="0" collapsed="false">
      <c r="A15" s="14" t="s">
        <v>162</v>
      </c>
      <c r="B15" s="8" t="s">
        <v>999</v>
      </c>
      <c r="C15" s="8" t="s">
        <v>161</v>
      </c>
      <c r="D15" s="8" t="s">
        <v>1000</v>
      </c>
      <c r="E15" s="9"/>
      <c r="F15" s="8" t="s">
        <v>1001</v>
      </c>
      <c r="G15" s="8" t="s">
        <v>1002</v>
      </c>
      <c r="H15" s="8" t="s">
        <v>1003</v>
      </c>
      <c r="I15" s="8" t="s">
        <v>1004</v>
      </c>
      <c r="J15" s="8" t="s">
        <v>1005</v>
      </c>
      <c r="K15" s="8" t="s">
        <v>165</v>
      </c>
      <c r="L15" s="9"/>
    </row>
    <row r="16" customFormat="false" ht="60" hidden="false" customHeight="true" outlineLevel="0" collapsed="false">
      <c r="A16" s="14" t="s">
        <v>142</v>
      </c>
      <c r="B16" s="8" t="s">
        <v>1006</v>
      </c>
      <c r="C16" s="8" t="s">
        <v>141</v>
      </c>
      <c r="D16" s="8" t="s">
        <v>1007</v>
      </c>
      <c r="E16" s="9"/>
      <c r="F16" s="8" t="s">
        <v>1008</v>
      </c>
      <c r="G16" s="8" t="s">
        <v>1009</v>
      </c>
      <c r="H16" s="8" t="s">
        <v>1010</v>
      </c>
      <c r="I16" s="8" t="s">
        <v>1011</v>
      </c>
      <c r="J16" s="8" t="s">
        <v>1012</v>
      </c>
      <c r="K16" s="8" t="s">
        <v>1013</v>
      </c>
      <c r="L16" s="9"/>
    </row>
    <row r="17" customFormat="false" ht="60" hidden="false" customHeight="true" outlineLevel="0" collapsed="false">
      <c r="A17" s="14" t="s">
        <v>167</v>
      </c>
      <c r="B17" s="8" t="s">
        <v>1014</v>
      </c>
      <c r="C17" s="8" t="s">
        <v>166</v>
      </c>
      <c r="D17" s="8" t="s">
        <v>1015</v>
      </c>
      <c r="E17" s="9"/>
      <c r="F17" s="8" t="s">
        <v>1016</v>
      </c>
      <c r="G17" s="8" t="s">
        <v>1017</v>
      </c>
      <c r="H17" s="8" t="s">
        <v>1018</v>
      </c>
      <c r="I17" s="8" t="s">
        <v>1019</v>
      </c>
      <c r="J17" s="8" t="s">
        <v>1020</v>
      </c>
      <c r="K17" s="8" t="s">
        <v>1021</v>
      </c>
      <c r="L17" s="9"/>
    </row>
    <row r="18" customFormat="false" ht="60" hidden="false" customHeight="true" outlineLevel="0" collapsed="false">
      <c r="A18" s="14" t="s">
        <v>172</v>
      </c>
      <c r="B18" s="8" t="s">
        <v>1022</v>
      </c>
      <c r="C18" s="8" t="s">
        <v>171</v>
      </c>
      <c r="D18" s="8" t="s">
        <v>1023</v>
      </c>
      <c r="E18" s="9"/>
      <c r="F18" s="8" t="s">
        <v>1024</v>
      </c>
      <c r="G18" s="8" t="s">
        <v>1025</v>
      </c>
      <c r="H18" s="8" t="s">
        <v>1026</v>
      </c>
      <c r="I18" s="8" t="s">
        <v>1027</v>
      </c>
      <c r="J18" s="8" t="s">
        <v>1028</v>
      </c>
      <c r="K18" s="8" t="s">
        <v>1029</v>
      </c>
      <c r="L18" s="9"/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7" t="s">
        <v>41</v>
      </c>
      <c r="B1" s="7" t="s">
        <v>1030</v>
      </c>
      <c r="C1" s="7" t="s">
        <v>1031</v>
      </c>
      <c r="D1" s="7" t="s">
        <v>1032</v>
      </c>
      <c r="E1" s="7" t="s">
        <v>1033</v>
      </c>
      <c r="F1" s="7" t="s">
        <v>1034</v>
      </c>
      <c r="G1" s="7" t="s">
        <v>184</v>
      </c>
      <c r="H1" s="7" t="s">
        <v>1035</v>
      </c>
      <c r="I1" s="7" t="s">
        <v>1036</v>
      </c>
      <c r="J1" s="7" t="s">
        <v>226</v>
      </c>
    </row>
    <row r="2" customFormat="false" ht="15" hidden="false" customHeight="false" outlineLevel="0" collapsed="false">
      <c r="A2" s="8" t="n">
        <v>1</v>
      </c>
      <c r="B2" s="14" t="s">
        <v>1037</v>
      </c>
      <c r="C2" s="8" t="s">
        <v>65</v>
      </c>
      <c r="D2" s="8" t="s">
        <v>1038</v>
      </c>
      <c r="E2" s="8" t="s">
        <v>1039</v>
      </c>
      <c r="F2" s="8" t="s">
        <v>1040</v>
      </c>
      <c r="G2" s="8" t="s">
        <v>1041</v>
      </c>
      <c r="H2" s="9"/>
      <c r="I2" s="9"/>
      <c r="J2" s="9"/>
    </row>
    <row r="3" customFormat="false" ht="15" hidden="false" customHeight="false" outlineLevel="0" collapsed="false">
      <c r="A3" s="8" t="n">
        <v>2</v>
      </c>
      <c r="B3" s="14" t="s">
        <v>1042</v>
      </c>
      <c r="C3" s="8" t="s">
        <v>65</v>
      </c>
      <c r="D3" s="8" t="s">
        <v>1038</v>
      </c>
      <c r="E3" s="8" t="s">
        <v>1043</v>
      </c>
      <c r="F3" s="8" t="s">
        <v>1044</v>
      </c>
      <c r="G3" s="8" t="s">
        <v>1045</v>
      </c>
      <c r="H3" s="9"/>
      <c r="I3" s="9"/>
      <c r="J3" s="9"/>
    </row>
    <row r="4" customFormat="false" ht="15" hidden="false" customHeight="false" outlineLevel="0" collapsed="false">
      <c r="A4" s="8" t="n">
        <v>3</v>
      </c>
      <c r="B4" s="14" t="s">
        <v>1046</v>
      </c>
      <c r="C4" s="8" t="s">
        <v>65</v>
      </c>
      <c r="D4" s="8" t="s">
        <v>1047</v>
      </c>
      <c r="E4" s="8" t="s">
        <v>1048</v>
      </c>
      <c r="F4" s="8" t="s">
        <v>1049</v>
      </c>
      <c r="G4" s="8" t="s">
        <v>445</v>
      </c>
      <c r="H4" s="9"/>
      <c r="I4" s="9"/>
      <c r="J4" s="9"/>
    </row>
    <row r="5" customFormat="false" ht="15" hidden="false" customHeight="false" outlineLevel="0" collapsed="false">
      <c r="A5" s="8" t="n">
        <v>4</v>
      </c>
      <c r="B5" s="14" t="s">
        <v>1050</v>
      </c>
      <c r="C5" s="8" t="s">
        <v>65</v>
      </c>
      <c r="D5" s="8" t="s">
        <v>1051</v>
      </c>
      <c r="E5" s="8" t="s">
        <v>1052</v>
      </c>
      <c r="F5" s="8" t="s">
        <v>1053</v>
      </c>
      <c r="G5" s="8" t="s">
        <v>445</v>
      </c>
      <c r="H5" s="9"/>
      <c r="I5" s="9"/>
      <c r="J5" s="9"/>
    </row>
    <row r="6" customFormat="false" ht="15" hidden="false" customHeight="false" outlineLevel="0" collapsed="false">
      <c r="A6" s="8" t="n">
        <v>5</v>
      </c>
      <c r="B6" s="14" t="s">
        <v>1054</v>
      </c>
      <c r="C6" s="8" t="s">
        <v>65</v>
      </c>
      <c r="D6" s="8" t="s">
        <v>1051</v>
      </c>
      <c r="E6" s="8" t="s">
        <v>1055</v>
      </c>
      <c r="F6" s="8" t="s">
        <v>1056</v>
      </c>
      <c r="G6" s="8" t="s">
        <v>445</v>
      </c>
      <c r="H6" s="9"/>
      <c r="I6" s="9"/>
      <c r="J6" s="9"/>
    </row>
    <row r="7" customFormat="false" ht="15" hidden="false" customHeight="false" outlineLevel="0" collapsed="false">
      <c r="A7" s="8" t="n">
        <v>6</v>
      </c>
      <c r="B7" s="14" t="s">
        <v>1057</v>
      </c>
      <c r="C7" s="8" t="s">
        <v>65</v>
      </c>
      <c r="D7" s="8" t="s">
        <v>1051</v>
      </c>
      <c r="E7" s="8" t="s">
        <v>1058</v>
      </c>
      <c r="F7" s="8" t="s">
        <v>1059</v>
      </c>
      <c r="G7" s="8" t="s">
        <v>428</v>
      </c>
      <c r="H7" s="9"/>
      <c r="I7" s="9"/>
      <c r="J7" s="9"/>
    </row>
    <row r="8" customFormat="false" ht="23.85" hidden="false" customHeight="false" outlineLevel="0" collapsed="false">
      <c r="A8" s="8" t="n">
        <v>7</v>
      </c>
      <c r="B8" s="14" t="s">
        <v>1060</v>
      </c>
      <c r="C8" s="8" t="s">
        <v>65</v>
      </c>
      <c r="D8" s="8" t="s">
        <v>1051</v>
      </c>
      <c r="E8" s="8" t="s">
        <v>1061</v>
      </c>
      <c r="F8" s="8" t="s">
        <v>1062</v>
      </c>
      <c r="G8" s="8" t="s">
        <v>1063</v>
      </c>
      <c r="H8" s="9"/>
      <c r="I8" s="9"/>
      <c r="J8" s="9"/>
    </row>
    <row r="9" customFormat="false" ht="15" hidden="false" customHeight="false" outlineLevel="0" collapsed="false">
      <c r="A9" s="8" t="n">
        <v>8</v>
      </c>
      <c r="B9" s="14" t="s">
        <v>1064</v>
      </c>
      <c r="C9" s="8" t="s">
        <v>65</v>
      </c>
      <c r="D9" s="8" t="s">
        <v>1051</v>
      </c>
      <c r="E9" s="8" t="s">
        <v>1065</v>
      </c>
      <c r="F9" s="8" t="s">
        <v>1066</v>
      </c>
      <c r="G9" s="8" t="s">
        <v>649</v>
      </c>
      <c r="H9" s="9"/>
      <c r="I9" s="9"/>
      <c r="J9" s="9"/>
    </row>
    <row r="10" customFormat="false" ht="15" hidden="false" customHeight="false" outlineLevel="0" collapsed="false">
      <c r="A10" s="8" t="n">
        <v>9</v>
      </c>
      <c r="B10" s="14" t="s">
        <v>1067</v>
      </c>
      <c r="C10" s="8" t="s">
        <v>65</v>
      </c>
      <c r="D10" s="8" t="s">
        <v>1051</v>
      </c>
      <c r="E10" s="8" t="s">
        <v>1068</v>
      </c>
      <c r="F10" s="8" t="s">
        <v>1069</v>
      </c>
      <c r="G10" s="8" t="s">
        <v>52</v>
      </c>
      <c r="H10" s="9"/>
      <c r="I10" s="9"/>
      <c r="J10" s="9"/>
    </row>
    <row r="11" customFormat="false" ht="23.85" hidden="false" customHeight="false" outlineLevel="0" collapsed="false">
      <c r="A11" s="8" t="n">
        <v>10</v>
      </c>
      <c r="B11" s="14" t="s">
        <v>1070</v>
      </c>
      <c r="C11" s="8" t="s">
        <v>65</v>
      </c>
      <c r="D11" s="8" t="s">
        <v>1051</v>
      </c>
      <c r="E11" s="8" t="s">
        <v>1071</v>
      </c>
      <c r="F11" s="8" t="s">
        <v>1072</v>
      </c>
      <c r="G11" s="8" t="s">
        <v>1073</v>
      </c>
      <c r="H11" s="9"/>
      <c r="I11" s="9"/>
      <c r="J11" s="9"/>
    </row>
    <row r="12" customFormat="false" ht="15" hidden="false" customHeight="false" outlineLevel="0" collapsed="false">
      <c r="A12" s="8" t="n">
        <v>11</v>
      </c>
      <c r="B12" s="14" t="s">
        <v>1074</v>
      </c>
      <c r="C12" s="8" t="s">
        <v>65</v>
      </c>
      <c r="D12" s="8" t="s">
        <v>1051</v>
      </c>
      <c r="E12" s="8" t="s">
        <v>1075</v>
      </c>
      <c r="F12" s="8" t="s">
        <v>1072</v>
      </c>
      <c r="G12" s="8" t="s">
        <v>470</v>
      </c>
      <c r="H12" s="9"/>
      <c r="I12" s="9"/>
      <c r="J12" s="9"/>
    </row>
    <row r="13" customFormat="false" ht="23.85" hidden="false" customHeight="false" outlineLevel="0" collapsed="false">
      <c r="A13" s="8" t="n">
        <v>12</v>
      </c>
      <c r="B13" s="14" t="s">
        <v>1076</v>
      </c>
      <c r="C13" s="8" t="s">
        <v>65</v>
      </c>
      <c r="D13" s="8" t="s">
        <v>1077</v>
      </c>
      <c r="E13" s="8" t="s">
        <v>1078</v>
      </c>
      <c r="F13" s="8" t="s">
        <v>1079</v>
      </c>
      <c r="G13" s="8" t="s">
        <v>83</v>
      </c>
      <c r="H13" s="9"/>
      <c r="I13" s="9"/>
      <c r="J13" s="9"/>
    </row>
    <row r="14" customFormat="false" ht="35.05" hidden="false" customHeight="false" outlineLevel="0" collapsed="false">
      <c r="A14" s="8" t="n">
        <v>13</v>
      </c>
      <c r="B14" s="14" t="s">
        <v>1080</v>
      </c>
      <c r="C14" s="8" t="s">
        <v>65</v>
      </c>
      <c r="D14" s="8" t="s">
        <v>1051</v>
      </c>
      <c r="E14" s="8" t="s">
        <v>1081</v>
      </c>
      <c r="F14" s="8" t="s">
        <v>1082</v>
      </c>
      <c r="G14" s="8" t="s">
        <v>72</v>
      </c>
      <c r="H14" s="9"/>
      <c r="I14" s="9"/>
      <c r="J14" s="9"/>
    </row>
    <row r="15" customFormat="false" ht="15" hidden="false" customHeight="false" outlineLevel="0" collapsed="false">
      <c r="A15" s="8" t="n">
        <v>14</v>
      </c>
      <c r="B15" s="14" t="s">
        <v>1083</v>
      </c>
      <c r="C15" s="8" t="s">
        <v>65</v>
      </c>
      <c r="D15" s="8" t="s">
        <v>1038</v>
      </c>
      <c r="E15" s="8" t="s">
        <v>1084</v>
      </c>
      <c r="F15" s="8" t="s">
        <v>1085</v>
      </c>
      <c r="G15" s="8" t="s">
        <v>682</v>
      </c>
      <c r="H15" s="9"/>
      <c r="I15" s="9"/>
      <c r="J15" s="9"/>
    </row>
    <row r="16" customFormat="false" ht="15" hidden="false" customHeight="false" outlineLevel="0" collapsed="false">
      <c r="A16" s="8" t="n">
        <v>15</v>
      </c>
      <c r="B16" s="14" t="s">
        <v>1086</v>
      </c>
      <c r="C16" s="8" t="s">
        <v>79</v>
      </c>
      <c r="D16" s="8" t="s">
        <v>1047</v>
      </c>
      <c r="E16" s="8" t="s">
        <v>1087</v>
      </c>
      <c r="F16" s="8" t="s">
        <v>1088</v>
      </c>
      <c r="G16" s="8" t="s">
        <v>83</v>
      </c>
      <c r="H16" s="9"/>
      <c r="I16" s="9"/>
      <c r="J16" s="9"/>
    </row>
    <row r="17" customFormat="false" ht="15" hidden="false" customHeight="false" outlineLevel="0" collapsed="false">
      <c r="A17" s="8" t="n">
        <v>16</v>
      </c>
      <c r="B17" s="14" t="s">
        <v>1089</v>
      </c>
      <c r="C17" s="8" t="s">
        <v>79</v>
      </c>
      <c r="D17" s="8" t="s">
        <v>1047</v>
      </c>
      <c r="E17" s="8" t="s">
        <v>1090</v>
      </c>
      <c r="F17" s="8" t="s">
        <v>1091</v>
      </c>
      <c r="G17" s="8" t="s">
        <v>83</v>
      </c>
      <c r="H17" s="9"/>
      <c r="I17" s="9"/>
      <c r="J17" s="9"/>
    </row>
    <row r="18" customFormat="false" ht="15" hidden="false" customHeight="false" outlineLevel="0" collapsed="false">
      <c r="A18" s="8" t="n">
        <v>17</v>
      </c>
      <c r="B18" s="14" t="s">
        <v>1092</v>
      </c>
      <c r="C18" s="8" t="s">
        <v>79</v>
      </c>
      <c r="D18" s="8" t="s">
        <v>1051</v>
      </c>
      <c r="E18" s="8" t="s">
        <v>1093</v>
      </c>
      <c r="F18" s="8" t="s">
        <v>1094</v>
      </c>
      <c r="G18" s="8" t="s">
        <v>83</v>
      </c>
      <c r="H18" s="9"/>
      <c r="I18" s="9"/>
      <c r="J18" s="9"/>
    </row>
    <row r="19" customFormat="false" ht="23.85" hidden="false" customHeight="false" outlineLevel="0" collapsed="false">
      <c r="A19" s="8" t="n">
        <v>18</v>
      </c>
      <c r="B19" s="14" t="s">
        <v>1095</v>
      </c>
      <c r="C19" s="8" t="s">
        <v>79</v>
      </c>
      <c r="D19" s="8" t="s">
        <v>1051</v>
      </c>
      <c r="E19" s="8" t="s">
        <v>1065</v>
      </c>
      <c r="F19" s="8" t="s">
        <v>1096</v>
      </c>
      <c r="G19" s="8" t="s">
        <v>478</v>
      </c>
      <c r="H19" s="9"/>
      <c r="I19" s="9"/>
      <c r="J19" s="9"/>
    </row>
    <row r="20" customFormat="false" ht="15" hidden="false" customHeight="false" outlineLevel="0" collapsed="false">
      <c r="A20" s="8" t="n">
        <v>19</v>
      </c>
      <c r="B20" s="14" t="s">
        <v>1097</v>
      </c>
      <c r="C20" s="8" t="s">
        <v>79</v>
      </c>
      <c r="D20" s="8" t="s">
        <v>1051</v>
      </c>
      <c r="E20" s="8" t="s">
        <v>1098</v>
      </c>
      <c r="F20" s="8" t="s">
        <v>1099</v>
      </c>
      <c r="G20" s="8" t="s">
        <v>83</v>
      </c>
      <c r="H20" s="9"/>
      <c r="I20" s="9"/>
      <c r="J20" s="9"/>
    </row>
    <row r="21" customFormat="false" ht="23.85" hidden="false" customHeight="false" outlineLevel="0" collapsed="false">
      <c r="A21" s="8" t="n">
        <v>20</v>
      </c>
      <c r="B21" s="14" t="s">
        <v>1100</v>
      </c>
      <c r="C21" s="8" t="s">
        <v>79</v>
      </c>
      <c r="D21" s="8" t="s">
        <v>1051</v>
      </c>
      <c r="E21" s="8" t="s">
        <v>1101</v>
      </c>
      <c r="F21" s="8" t="s">
        <v>1102</v>
      </c>
      <c r="G21" s="8" t="s">
        <v>83</v>
      </c>
      <c r="H21" s="9"/>
      <c r="I21" s="9"/>
      <c r="J21" s="9"/>
    </row>
    <row r="22" customFormat="false" ht="15" hidden="false" customHeight="false" outlineLevel="0" collapsed="false">
      <c r="A22" s="8" t="n">
        <v>21</v>
      </c>
      <c r="B22" s="14" t="s">
        <v>1103</v>
      </c>
      <c r="C22" s="8" t="s">
        <v>79</v>
      </c>
      <c r="D22" s="8" t="s">
        <v>1051</v>
      </c>
      <c r="E22" s="8" t="s">
        <v>1104</v>
      </c>
      <c r="F22" s="8" t="s">
        <v>1105</v>
      </c>
      <c r="G22" s="8" t="s">
        <v>1106</v>
      </c>
      <c r="H22" s="9"/>
      <c r="I22" s="9"/>
      <c r="J22" s="9"/>
    </row>
    <row r="23" customFormat="false" ht="23.85" hidden="false" customHeight="false" outlineLevel="0" collapsed="false">
      <c r="A23" s="8" t="n">
        <v>22</v>
      </c>
      <c r="B23" s="14" t="s">
        <v>1107</v>
      </c>
      <c r="C23" s="8" t="s">
        <v>79</v>
      </c>
      <c r="D23" s="8" t="s">
        <v>1077</v>
      </c>
      <c r="E23" s="8" t="s">
        <v>1108</v>
      </c>
      <c r="F23" s="8" t="s">
        <v>1109</v>
      </c>
      <c r="G23" s="8" t="s">
        <v>1110</v>
      </c>
      <c r="H23" s="9"/>
      <c r="I23" s="9"/>
      <c r="J23" s="9"/>
    </row>
    <row r="24" customFormat="false" ht="35.05" hidden="false" customHeight="false" outlineLevel="0" collapsed="false">
      <c r="A24" s="8" t="n">
        <v>23</v>
      </c>
      <c r="B24" s="14" t="s">
        <v>1111</v>
      </c>
      <c r="C24" s="8" t="s">
        <v>120</v>
      </c>
      <c r="D24" s="8" t="s">
        <v>1112</v>
      </c>
      <c r="E24" s="8" t="s">
        <v>1113</v>
      </c>
      <c r="F24" s="8" t="s">
        <v>1114</v>
      </c>
      <c r="G24" s="8" t="s">
        <v>89</v>
      </c>
      <c r="H24" s="9"/>
      <c r="I24" s="9"/>
      <c r="J24" s="9"/>
    </row>
    <row r="25" customFormat="false" ht="15" hidden="false" customHeight="false" outlineLevel="0" collapsed="false">
      <c r="A25" s="8" t="n">
        <v>24</v>
      </c>
      <c r="B25" s="14" t="s">
        <v>1115</v>
      </c>
      <c r="C25" s="8" t="s">
        <v>90</v>
      </c>
      <c r="D25" s="8" t="s">
        <v>1116</v>
      </c>
      <c r="E25" s="8" t="s">
        <v>1117</v>
      </c>
      <c r="F25" s="8" t="s">
        <v>1118</v>
      </c>
      <c r="G25" s="8" t="s">
        <v>388</v>
      </c>
      <c r="H25" s="9"/>
      <c r="I25" s="9"/>
      <c r="J25" s="9"/>
    </row>
    <row r="26" customFormat="false" ht="15" hidden="false" customHeight="false" outlineLevel="0" collapsed="false">
      <c r="A26" s="8" t="n">
        <v>25</v>
      </c>
      <c r="B26" s="14" t="s">
        <v>1119</v>
      </c>
      <c r="C26" s="8" t="s">
        <v>90</v>
      </c>
      <c r="D26" s="8" t="s">
        <v>1116</v>
      </c>
      <c r="E26" s="8" t="s">
        <v>1120</v>
      </c>
      <c r="F26" s="8" t="s">
        <v>1121</v>
      </c>
      <c r="G26" s="8" t="s">
        <v>461</v>
      </c>
      <c r="H26" s="9"/>
      <c r="I26" s="9"/>
      <c r="J26" s="9"/>
    </row>
    <row r="27" customFormat="false" ht="15" hidden="false" customHeight="false" outlineLevel="0" collapsed="false">
      <c r="A27" s="8" t="n">
        <v>26</v>
      </c>
      <c r="B27" s="14" t="s">
        <v>1122</v>
      </c>
      <c r="C27" s="8" t="s">
        <v>90</v>
      </c>
      <c r="D27" s="8" t="s">
        <v>1116</v>
      </c>
      <c r="E27" s="8" t="s">
        <v>1123</v>
      </c>
      <c r="F27" s="8" t="s">
        <v>1124</v>
      </c>
      <c r="G27" s="8" t="s">
        <v>1045</v>
      </c>
      <c r="H27" s="9"/>
      <c r="I27" s="9"/>
      <c r="J27" s="9"/>
    </row>
    <row r="28" customFormat="false" ht="15" hidden="false" customHeight="false" outlineLevel="0" collapsed="false">
      <c r="A28" s="8" t="n">
        <v>27</v>
      </c>
      <c r="B28" s="14" t="s">
        <v>1125</v>
      </c>
      <c r="C28" s="8" t="s">
        <v>90</v>
      </c>
      <c r="D28" s="8" t="s">
        <v>1116</v>
      </c>
      <c r="E28" s="8" t="s">
        <v>1126</v>
      </c>
      <c r="F28" s="8" t="s">
        <v>1127</v>
      </c>
      <c r="G28" s="8" t="s">
        <v>445</v>
      </c>
      <c r="H28" s="9"/>
      <c r="I28" s="9"/>
      <c r="J28" s="9"/>
    </row>
    <row r="29" customFormat="false" ht="23.85" hidden="false" customHeight="false" outlineLevel="0" collapsed="false">
      <c r="A29" s="8" t="n">
        <v>28</v>
      </c>
      <c r="B29" s="14" t="s">
        <v>1128</v>
      </c>
      <c r="C29" s="8" t="s">
        <v>90</v>
      </c>
      <c r="D29" s="8" t="s">
        <v>1129</v>
      </c>
      <c r="E29" s="8" t="s">
        <v>1130</v>
      </c>
      <c r="F29" s="8" t="s">
        <v>1131</v>
      </c>
      <c r="G29" s="8" t="s">
        <v>511</v>
      </c>
      <c r="H29" s="9"/>
      <c r="I29" s="9"/>
      <c r="J29" s="9"/>
    </row>
    <row r="30" customFormat="false" ht="23.85" hidden="false" customHeight="false" outlineLevel="0" collapsed="false">
      <c r="A30" s="8" t="n">
        <v>29</v>
      </c>
      <c r="B30" s="14" t="s">
        <v>1132</v>
      </c>
      <c r="C30" s="8" t="s">
        <v>90</v>
      </c>
      <c r="D30" s="8" t="s">
        <v>91</v>
      </c>
      <c r="E30" s="8" t="s">
        <v>1133</v>
      </c>
      <c r="F30" s="8" t="s">
        <v>1134</v>
      </c>
      <c r="G30" s="8" t="s">
        <v>97</v>
      </c>
      <c r="H30" s="9"/>
      <c r="I30" s="9"/>
      <c r="J30" s="9"/>
    </row>
    <row r="31" customFormat="false" ht="15" hidden="false" customHeight="false" outlineLevel="0" collapsed="false">
      <c r="A31" s="8" t="n">
        <v>30</v>
      </c>
      <c r="B31" s="14" t="s">
        <v>1135</v>
      </c>
      <c r="C31" s="8" t="s">
        <v>90</v>
      </c>
      <c r="D31" s="8" t="s">
        <v>91</v>
      </c>
      <c r="E31" s="8" t="s">
        <v>1136</v>
      </c>
      <c r="F31" s="8" t="s">
        <v>1137</v>
      </c>
      <c r="G31" s="8" t="s">
        <v>1138</v>
      </c>
      <c r="H31" s="9"/>
      <c r="I31" s="9"/>
      <c r="J31" s="9"/>
    </row>
    <row r="32" customFormat="false" ht="23.85" hidden="false" customHeight="false" outlineLevel="0" collapsed="false">
      <c r="A32" s="8" t="n">
        <v>31</v>
      </c>
      <c r="B32" s="14" t="s">
        <v>1139</v>
      </c>
      <c r="C32" s="8" t="s">
        <v>90</v>
      </c>
      <c r="D32" s="8" t="s">
        <v>1116</v>
      </c>
      <c r="E32" s="8" t="s">
        <v>1140</v>
      </c>
      <c r="F32" s="8" t="s">
        <v>1141</v>
      </c>
      <c r="G32" s="8" t="s">
        <v>682</v>
      </c>
      <c r="H32" s="9"/>
      <c r="I32" s="9"/>
      <c r="J32" s="9"/>
    </row>
    <row r="33" customFormat="false" ht="15" hidden="false" customHeight="false" outlineLevel="0" collapsed="false">
      <c r="A33" s="8" t="n">
        <v>32</v>
      </c>
      <c r="B33" s="14" t="s">
        <v>1142</v>
      </c>
      <c r="C33" s="8" t="s">
        <v>90</v>
      </c>
      <c r="D33" s="8" t="s">
        <v>1116</v>
      </c>
      <c r="E33" s="8" t="s">
        <v>1143</v>
      </c>
      <c r="F33" s="8" t="s">
        <v>1144</v>
      </c>
      <c r="G33" s="8" t="s">
        <v>682</v>
      </c>
      <c r="H33" s="9"/>
      <c r="I33" s="9"/>
      <c r="J33" s="9"/>
    </row>
    <row r="34" customFormat="false" ht="15" hidden="false" customHeight="false" outlineLevel="0" collapsed="false">
      <c r="A34" s="8" t="n">
        <v>33</v>
      </c>
      <c r="B34" s="14" t="s">
        <v>1145</v>
      </c>
      <c r="C34" s="8" t="s">
        <v>90</v>
      </c>
      <c r="D34" s="8" t="s">
        <v>1146</v>
      </c>
      <c r="E34" s="8" t="s">
        <v>1147</v>
      </c>
      <c r="F34" s="8" t="s">
        <v>1148</v>
      </c>
      <c r="G34" s="8" t="s">
        <v>657</v>
      </c>
      <c r="H34" s="9"/>
      <c r="I34" s="9"/>
      <c r="J34" s="9"/>
    </row>
    <row r="35" customFormat="false" ht="15" hidden="false" customHeight="false" outlineLevel="0" collapsed="false">
      <c r="A35" s="8" t="n">
        <v>34</v>
      </c>
      <c r="B35" s="14" t="s">
        <v>1149</v>
      </c>
      <c r="C35" s="8" t="s">
        <v>90</v>
      </c>
      <c r="D35" s="8" t="s">
        <v>1150</v>
      </c>
      <c r="E35" s="8" t="s">
        <v>1151</v>
      </c>
      <c r="F35" s="8" t="s">
        <v>1152</v>
      </c>
      <c r="G35" s="8" t="s">
        <v>401</v>
      </c>
      <c r="H35" s="9"/>
      <c r="I35" s="9"/>
      <c r="J35" s="9"/>
    </row>
    <row r="37" customFormat="false" ht="15" hidden="false" customHeight="false" outlineLevel="0" collapsed="false">
      <c r="B37" s="3" t="s">
        <v>1153</v>
      </c>
      <c r="C37" s="0" t="str">
        <f aca="false">COUNTIF(H2:H35,"Configured")&amp;" of "&amp;COUNTA(B2:B35)</f>
        <v>0 of 34</v>
      </c>
    </row>
    <row r="38" customFormat="false" ht="15" hidden="false" customHeight="false" outlineLevel="0" collapsed="false">
      <c r="B38" s="20" t="s">
        <v>1154</v>
      </c>
    </row>
  </sheetData>
  <autoFilter ref="A1:J1"/>
  <conditionalFormatting sqref="H2:H35">
    <cfRule type="cellIs" priority="2" operator="equal" aboveAverage="0" equalAverage="0" bottom="0" percent="0" rank="0" text="" dxfId="2">
      <formula>"Configured"</formula>
    </cfRule>
    <cfRule type="cellIs" priority="3" operator="equal" aboveAverage="0" equalAverage="0" bottom="0" percent="0" rank="0" text="" dxfId="3">
      <formula>"Partially configured"</formula>
    </cfRule>
    <cfRule type="cellIs" priority="4" operator="equal" aboveAverage="0" equalAverage="0" bottom="0" percent="0" rank="0" text="" dxfId="4">
      <formula>"Not configured"</formula>
    </cfRule>
  </conditionalFormatting>
  <dataValidations count="1">
    <dataValidation allowBlank="true" errorStyle="stop" operator="between" showDropDown="false" showErrorMessage="false" showInputMessage="false" sqref="H2:H35" type="list">
      <formula1>"Configured,Partially configured,Not configured,Not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7" t="s">
        <v>1155</v>
      </c>
      <c r="B1" s="7" t="s">
        <v>1156</v>
      </c>
      <c r="C1" s="7" t="s">
        <v>1157</v>
      </c>
      <c r="D1" s="7" t="s">
        <v>215</v>
      </c>
      <c r="E1" s="7" t="s">
        <v>1158</v>
      </c>
      <c r="F1" s="7" t="s">
        <v>1159</v>
      </c>
      <c r="G1" s="7" t="s">
        <v>1160</v>
      </c>
      <c r="H1" s="7" t="s">
        <v>1161</v>
      </c>
    </row>
    <row r="2" customFormat="false" ht="15" hidden="false" customHeight="false" outlineLevel="0" collapsed="false">
      <c r="A2" s="14" t="s">
        <v>1162</v>
      </c>
      <c r="B2" s="8" t="s">
        <v>102</v>
      </c>
      <c r="C2" s="8" t="s">
        <v>1163</v>
      </c>
      <c r="D2" s="8" t="s">
        <v>1164</v>
      </c>
      <c r="E2" s="8" t="s">
        <v>1165</v>
      </c>
      <c r="F2" s="8" t="s">
        <v>1166</v>
      </c>
      <c r="G2" s="16" t="s">
        <v>1167</v>
      </c>
      <c r="H2" s="16" t="s">
        <v>239</v>
      </c>
    </row>
    <row r="3" customFormat="false" ht="15" hidden="false" customHeight="false" outlineLevel="0" collapsed="false">
      <c r="A3" s="14" t="s">
        <v>1168</v>
      </c>
      <c r="B3" s="8" t="s">
        <v>1169</v>
      </c>
      <c r="C3" s="8" t="s">
        <v>1170</v>
      </c>
      <c r="D3" s="8" t="s">
        <v>731</v>
      </c>
      <c r="E3" s="8" t="s">
        <v>1171</v>
      </c>
      <c r="F3" s="8" t="s">
        <v>1172</v>
      </c>
      <c r="G3" s="9"/>
      <c r="H3" s="9"/>
    </row>
    <row r="4" customFormat="false" ht="23.85" hidden="false" customHeight="false" outlineLevel="0" collapsed="false">
      <c r="A4" s="14" t="s">
        <v>1173</v>
      </c>
      <c r="B4" s="8" t="s">
        <v>421</v>
      </c>
      <c r="C4" s="8" t="s">
        <v>1174</v>
      </c>
      <c r="D4" s="8" t="s">
        <v>1175</v>
      </c>
      <c r="E4" s="8" t="s">
        <v>1176</v>
      </c>
      <c r="F4" s="8" t="s">
        <v>418</v>
      </c>
      <c r="G4" s="9"/>
      <c r="H4" s="9"/>
    </row>
    <row r="5" customFormat="false" ht="35.05" hidden="false" customHeight="false" outlineLevel="0" collapsed="false">
      <c r="A5" s="14" t="s">
        <v>1177</v>
      </c>
      <c r="B5" s="8" t="s">
        <v>65</v>
      </c>
      <c r="C5" s="8" t="s">
        <v>1178</v>
      </c>
      <c r="D5" s="8" t="s">
        <v>1164</v>
      </c>
      <c r="E5" s="8" t="s">
        <v>1179</v>
      </c>
      <c r="F5" s="8" t="s">
        <v>1180</v>
      </c>
      <c r="G5" s="9"/>
      <c r="H5" s="9"/>
    </row>
    <row r="6" customFormat="false" ht="35.05" hidden="false" customHeight="false" outlineLevel="0" collapsed="false">
      <c r="A6" s="14" t="s">
        <v>1181</v>
      </c>
      <c r="B6" s="8" t="s">
        <v>65</v>
      </c>
      <c r="C6" s="8" t="s">
        <v>1182</v>
      </c>
      <c r="D6" s="8" t="s">
        <v>731</v>
      </c>
      <c r="E6" s="8" t="s">
        <v>1183</v>
      </c>
      <c r="F6" s="8" t="s">
        <v>1184</v>
      </c>
      <c r="G6" s="9"/>
      <c r="H6" s="9"/>
    </row>
    <row r="7" customFormat="false" ht="23.85" hidden="false" customHeight="false" outlineLevel="0" collapsed="false">
      <c r="A7" s="14" t="s">
        <v>1185</v>
      </c>
      <c r="B7" s="8" t="s">
        <v>1186</v>
      </c>
      <c r="C7" s="8" t="s">
        <v>1187</v>
      </c>
      <c r="D7" s="8" t="s">
        <v>1188</v>
      </c>
      <c r="E7" s="8" t="s">
        <v>1189</v>
      </c>
      <c r="F7" s="8" t="s">
        <v>1190</v>
      </c>
      <c r="G7" s="9"/>
      <c r="H7" s="9"/>
    </row>
    <row r="8" customFormat="false" ht="15" hidden="false" customHeight="false" outlineLevel="0" collapsed="false">
      <c r="A8" s="14" t="s">
        <v>1191</v>
      </c>
      <c r="B8" s="8" t="s">
        <v>121</v>
      </c>
      <c r="C8" s="8" t="s">
        <v>1192</v>
      </c>
      <c r="D8" s="8" t="s">
        <v>1164</v>
      </c>
      <c r="E8" s="8" t="s">
        <v>1193</v>
      </c>
      <c r="F8" s="8" t="s">
        <v>1194</v>
      </c>
      <c r="G8" s="9"/>
      <c r="H8" s="9"/>
    </row>
    <row r="9" customFormat="false" ht="15" hidden="false" customHeight="false" outlineLevel="0" collapsed="false">
      <c r="A9" s="14" t="s">
        <v>1195</v>
      </c>
      <c r="B9" s="8" t="s">
        <v>1196</v>
      </c>
      <c r="C9" s="8" t="s">
        <v>1197</v>
      </c>
      <c r="D9" s="8" t="s">
        <v>677</v>
      </c>
      <c r="E9" s="8" t="s">
        <v>1198</v>
      </c>
      <c r="F9" s="8" t="s">
        <v>1199</v>
      </c>
      <c r="G9" s="9"/>
      <c r="H9" s="9"/>
    </row>
    <row r="10" customFormat="false" ht="23.85" hidden="false" customHeight="false" outlineLevel="0" collapsed="false">
      <c r="A10" s="14" t="s">
        <v>1200</v>
      </c>
      <c r="B10" s="8" t="s">
        <v>1201</v>
      </c>
      <c r="C10" s="8" t="s">
        <v>1202</v>
      </c>
      <c r="D10" s="8" t="s">
        <v>666</v>
      </c>
      <c r="E10" s="8" t="s">
        <v>1203</v>
      </c>
      <c r="F10" s="8" t="s">
        <v>1204</v>
      </c>
      <c r="G10" s="9"/>
      <c r="H10" s="9"/>
    </row>
    <row r="11" customFormat="false" ht="15" hidden="false" customHeight="false" outlineLevel="0" collapsed="false">
      <c r="A11" s="14" t="s">
        <v>1205</v>
      </c>
      <c r="B11" s="8" t="s">
        <v>670</v>
      </c>
      <c r="C11" s="8" t="s">
        <v>1206</v>
      </c>
      <c r="D11" s="8" t="s">
        <v>666</v>
      </c>
      <c r="E11" s="8" t="s">
        <v>1207</v>
      </c>
      <c r="F11" s="8" t="s">
        <v>1208</v>
      </c>
      <c r="G11" s="9"/>
      <c r="H11" s="9"/>
    </row>
    <row r="12" customFormat="false" ht="15" hidden="false" customHeight="false" outlineLevel="0" collapsed="false">
      <c r="A12" s="14" t="s">
        <v>1209</v>
      </c>
      <c r="B12" s="8" t="s">
        <v>153</v>
      </c>
      <c r="C12" s="8" t="s">
        <v>1210</v>
      </c>
      <c r="D12" s="8" t="s">
        <v>731</v>
      </c>
      <c r="E12" s="8" t="s">
        <v>1211</v>
      </c>
      <c r="F12" s="8" t="s">
        <v>127</v>
      </c>
      <c r="G12" s="9"/>
      <c r="H12" s="9"/>
    </row>
    <row r="13" customFormat="false" ht="15" hidden="false" customHeight="false" outlineLevel="0" collapsed="false">
      <c r="A13" s="14" t="s">
        <v>1212</v>
      </c>
      <c r="B13" s="8" t="s">
        <v>162</v>
      </c>
      <c r="C13" s="8" t="s">
        <v>1213</v>
      </c>
      <c r="D13" s="8" t="s">
        <v>666</v>
      </c>
      <c r="E13" s="8" t="s">
        <v>1214</v>
      </c>
      <c r="F13" s="8" t="s">
        <v>164</v>
      </c>
      <c r="G13" s="9"/>
      <c r="H13" s="9"/>
    </row>
    <row r="14" customFormat="false" ht="15" hidden="false" customHeight="false" outlineLevel="0" collapsed="false">
      <c r="A14" s="14" t="s">
        <v>1215</v>
      </c>
      <c r="B14" s="8" t="s">
        <v>167</v>
      </c>
      <c r="C14" s="8" t="s">
        <v>1216</v>
      </c>
      <c r="D14" s="8" t="s">
        <v>731</v>
      </c>
      <c r="E14" s="8" t="s">
        <v>1217</v>
      </c>
      <c r="F14" s="8" t="s">
        <v>764</v>
      </c>
      <c r="G14" s="9"/>
      <c r="H14" s="9"/>
    </row>
    <row r="15" customFormat="false" ht="15" hidden="false" customHeight="false" outlineLevel="0" collapsed="false">
      <c r="A15" s="14" t="s">
        <v>1218</v>
      </c>
      <c r="B15" s="8" t="s">
        <v>1219</v>
      </c>
      <c r="C15" s="8" t="s">
        <v>1220</v>
      </c>
      <c r="D15" s="8" t="s">
        <v>677</v>
      </c>
      <c r="E15" s="8" t="s">
        <v>1221</v>
      </c>
      <c r="F15" s="8" t="s">
        <v>119</v>
      </c>
      <c r="G15" s="9"/>
      <c r="H15" s="9"/>
    </row>
    <row r="16" customFormat="false" ht="15" hidden="false" customHeight="false" outlineLevel="0" collapsed="false">
      <c r="A16" s="14" t="s">
        <v>1222</v>
      </c>
      <c r="B16" s="8" t="s">
        <v>1223</v>
      </c>
      <c r="C16" s="8" t="s">
        <v>1224</v>
      </c>
      <c r="D16" s="8" t="s">
        <v>1164</v>
      </c>
      <c r="E16" s="8" t="s">
        <v>1225</v>
      </c>
      <c r="F16" s="8" t="s">
        <v>1226</v>
      </c>
      <c r="G16" s="9"/>
      <c r="H16" s="9"/>
    </row>
    <row r="17" customFormat="false" ht="35.05" hidden="false" customHeight="false" outlineLevel="0" collapsed="false">
      <c r="A17" s="14" t="s">
        <v>1227</v>
      </c>
      <c r="B17" s="8" t="s">
        <v>65</v>
      </c>
      <c r="C17" s="8" t="s">
        <v>1228</v>
      </c>
      <c r="D17" s="8" t="s">
        <v>1164</v>
      </c>
      <c r="E17" s="8" t="s">
        <v>1229</v>
      </c>
      <c r="F17" s="8" t="s">
        <v>1230</v>
      </c>
      <c r="G17" s="9"/>
      <c r="H17" s="9"/>
    </row>
    <row r="18" customFormat="false" ht="35.05" hidden="false" customHeight="false" outlineLevel="0" collapsed="false">
      <c r="A18" s="14" t="s">
        <v>1231</v>
      </c>
      <c r="B18" s="8" t="s">
        <v>1186</v>
      </c>
      <c r="C18" s="8" t="s">
        <v>1232</v>
      </c>
      <c r="D18" s="8" t="s">
        <v>1233</v>
      </c>
      <c r="E18" s="8" t="s">
        <v>1234</v>
      </c>
      <c r="F18" s="8" t="s">
        <v>1235</v>
      </c>
      <c r="G18" s="9"/>
      <c r="H18" s="9"/>
    </row>
    <row r="19" customFormat="false" ht="23.85" hidden="false" customHeight="false" outlineLevel="0" collapsed="false">
      <c r="A19" s="14" t="s">
        <v>1236</v>
      </c>
      <c r="B19" s="8" t="s">
        <v>90</v>
      </c>
      <c r="C19" s="8" t="s">
        <v>1237</v>
      </c>
      <c r="D19" s="8" t="s">
        <v>731</v>
      </c>
      <c r="E19" s="8" t="s">
        <v>1238</v>
      </c>
      <c r="F19" s="8" t="s">
        <v>97</v>
      </c>
      <c r="G19" s="9"/>
      <c r="H19" s="9"/>
    </row>
    <row r="20" customFormat="false" ht="23.85" hidden="false" customHeight="false" outlineLevel="0" collapsed="false">
      <c r="A20" s="14" t="s">
        <v>1239</v>
      </c>
      <c r="B20" s="8" t="s">
        <v>90</v>
      </c>
      <c r="C20" s="8" t="s">
        <v>1240</v>
      </c>
      <c r="D20" s="8" t="s">
        <v>1241</v>
      </c>
      <c r="E20" s="8" t="s">
        <v>1242</v>
      </c>
      <c r="F20" s="8" t="s">
        <v>1243</v>
      </c>
      <c r="G20" s="9"/>
      <c r="H20" s="9"/>
    </row>
    <row r="21" customFormat="false" ht="23.85" hidden="false" customHeight="false" outlineLevel="0" collapsed="false">
      <c r="A21" s="14" t="s">
        <v>1244</v>
      </c>
      <c r="B21" s="8" t="s">
        <v>65</v>
      </c>
      <c r="C21" s="8" t="s">
        <v>1245</v>
      </c>
      <c r="D21" s="8" t="s">
        <v>1246</v>
      </c>
      <c r="E21" s="8" t="s">
        <v>1247</v>
      </c>
      <c r="F21" s="8" t="s">
        <v>1248</v>
      </c>
      <c r="G21" s="9"/>
      <c r="H21" s="9"/>
    </row>
    <row r="22" customFormat="false" ht="23.85" hidden="false" customHeight="false" outlineLevel="0" collapsed="false">
      <c r="A22" s="14" t="s">
        <v>1249</v>
      </c>
      <c r="B22" s="8" t="s">
        <v>1186</v>
      </c>
      <c r="C22" s="8" t="s">
        <v>1250</v>
      </c>
      <c r="D22" s="8" t="s">
        <v>666</v>
      </c>
      <c r="E22" s="8" t="s">
        <v>1251</v>
      </c>
      <c r="F22" s="8" t="s">
        <v>1252</v>
      </c>
      <c r="G22" s="9"/>
      <c r="H22" s="9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30"/>
  </cols>
  <sheetData>
    <row r="1" customFormat="false" ht="31.5" hidden="false" customHeight="true" outlineLevel="0" collapsed="false">
      <c r="A1" s="7" t="s">
        <v>1253</v>
      </c>
      <c r="B1" s="7" t="s">
        <v>209</v>
      </c>
      <c r="C1" s="7" t="s">
        <v>210</v>
      </c>
      <c r="D1" s="7" t="s">
        <v>1254</v>
      </c>
      <c r="E1" s="7" t="s">
        <v>1255</v>
      </c>
      <c r="F1" s="7" t="s">
        <v>1256</v>
      </c>
      <c r="G1" s="7" t="s">
        <v>1257</v>
      </c>
      <c r="H1" s="7" t="s">
        <v>216</v>
      </c>
      <c r="I1" s="7" t="s">
        <v>1035</v>
      </c>
      <c r="J1" s="7" t="s">
        <v>1258</v>
      </c>
      <c r="K1" s="7" t="s">
        <v>1259</v>
      </c>
      <c r="L1" s="7" t="s">
        <v>1260</v>
      </c>
    </row>
    <row r="2" customFormat="false" ht="23.85" hidden="false" customHeight="false" outlineLevel="0" collapsed="false">
      <c r="A2" s="8" t="s">
        <v>1261</v>
      </c>
      <c r="B2" s="8" t="s">
        <v>64</v>
      </c>
      <c r="C2" s="8" t="s">
        <v>227</v>
      </c>
      <c r="D2" s="8" t="s">
        <v>1262</v>
      </c>
      <c r="E2" s="8" t="s">
        <v>1263</v>
      </c>
      <c r="F2" s="8" t="s">
        <v>172</v>
      </c>
      <c r="G2" s="8" t="s">
        <v>1264</v>
      </c>
      <c r="H2" s="8" t="s">
        <v>232</v>
      </c>
      <c r="I2" s="9" t="s">
        <v>1265</v>
      </c>
      <c r="J2" s="9"/>
      <c r="K2" s="9"/>
      <c r="L2" s="8"/>
    </row>
    <row r="3" customFormat="false" ht="23.85" hidden="false" customHeight="false" outlineLevel="0" collapsed="false">
      <c r="A3" s="8" t="s">
        <v>1266</v>
      </c>
      <c r="B3" s="8" t="s">
        <v>64</v>
      </c>
      <c r="C3" s="8" t="s">
        <v>227</v>
      </c>
      <c r="D3" s="8" t="s">
        <v>1267</v>
      </c>
      <c r="E3" s="8" t="s">
        <v>1263</v>
      </c>
      <c r="F3" s="8" t="s">
        <v>172</v>
      </c>
      <c r="G3" s="8" t="s">
        <v>1264</v>
      </c>
      <c r="H3" s="8" t="s">
        <v>232</v>
      </c>
      <c r="I3" s="9" t="s">
        <v>1265</v>
      </c>
      <c r="J3" s="9"/>
      <c r="K3" s="9"/>
      <c r="L3" s="8"/>
    </row>
    <row r="4" customFormat="false" ht="23.85" hidden="false" customHeight="false" outlineLevel="0" collapsed="false">
      <c r="A4" s="8" t="s">
        <v>1268</v>
      </c>
      <c r="B4" s="8" t="s">
        <v>241</v>
      </c>
      <c r="C4" s="8" t="s">
        <v>242</v>
      </c>
      <c r="D4" s="8" t="s">
        <v>247</v>
      </c>
      <c r="E4" s="8" t="s">
        <v>1263</v>
      </c>
      <c r="F4" s="8" t="s">
        <v>172</v>
      </c>
      <c r="G4" s="8" t="s">
        <v>1264</v>
      </c>
      <c r="H4" s="8" t="s">
        <v>245</v>
      </c>
      <c r="I4" s="9" t="s">
        <v>1265</v>
      </c>
      <c r="J4" s="9"/>
      <c r="K4" s="9"/>
      <c r="L4" s="8"/>
    </row>
    <row r="5" customFormat="false" ht="23.85" hidden="false" customHeight="false" outlineLevel="0" collapsed="false">
      <c r="A5" s="8" t="s">
        <v>1269</v>
      </c>
      <c r="B5" s="8" t="s">
        <v>55</v>
      </c>
      <c r="C5" s="8" t="s">
        <v>250</v>
      </c>
      <c r="D5" s="8" t="s">
        <v>1270</v>
      </c>
      <c r="E5" s="8" t="s">
        <v>1263</v>
      </c>
      <c r="F5" s="8" t="s">
        <v>252</v>
      </c>
      <c r="G5" s="8" t="s">
        <v>1264</v>
      </c>
      <c r="H5" s="8" t="s">
        <v>254</v>
      </c>
      <c r="I5" s="9" t="s">
        <v>1265</v>
      </c>
      <c r="J5" s="9"/>
      <c r="K5" s="9"/>
      <c r="L5" s="8"/>
    </row>
    <row r="6" customFormat="false" ht="23.85" hidden="false" customHeight="false" outlineLevel="0" collapsed="false">
      <c r="A6" s="8" t="s">
        <v>1271</v>
      </c>
      <c r="B6" s="8" t="s">
        <v>55</v>
      </c>
      <c r="C6" s="8" t="s">
        <v>250</v>
      </c>
      <c r="D6" s="8" t="s">
        <v>1272</v>
      </c>
      <c r="E6" s="8" t="s">
        <v>1263</v>
      </c>
      <c r="F6" s="8" t="s">
        <v>252</v>
      </c>
      <c r="G6" s="8" t="s">
        <v>1264</v>
      </c>
      <c r="H6" s="8" t="s">
        <v>254</v>
      </c>
      <c r="I6" s="9" t="s">
        <v>1265</v>
      </c>
      <c r="J6" s="9"/>
      <c r="K6" s="9"/>
      <c r="L6" s="8"/>
    </row>
    <row r="7" customFormat="false" ht="23.85" hidden="false" customHeight="false" outlineLevel="0" collapsed="false">
      <c r="A7" s="8" t="s">
        <v>1273</v>
      </c>
      <c r="B7" s="8" t="s">
        <v>259</v>
      </c>
      <c r="C7" s="8" t="s">
        <v>260</v>
      </c>
      <c r="D7" s="8" t="s">
        <v>265</v>
      </c>
      <c r="E7" s="8" t="s">
        <v>1263</v>
      </c>
      <c r="F7" s="8" t="s">
        <v>262</v>
      </c>
      <c r="G7" s="8" t="s">
        <v>1264</v>
      </c>
      <c r="H7" s="8" t="s">
        <v>232</v>
      </c>
      <c r="I7" s="9" t="s">
        <v>1265</v>
      </c>
      <c r="J7" s="9"/>
      <c r="K7" s="9"/>
      <c r="L7" s="8"/>
    </row>
    <row r="8" customFormat="false" ht="23.85" hidden="false" customHeight="false" outlineLevel="0" collapsed="false">
      <c r="A8" s="8" t="s">
        <v>1274</v>
      </c>
      <c r="B8" s="8" t="s">
        <v>58</v>
      </c>
      <c r="C8" s="8" t="s">
        <v>269</v>
      </c>
      <c r="D8" s="8" t="s">
        <v>1275</v>
      </c>
      <c r="E8" s="8" t="s">
        <v>1263</v>
      </c>
      <c r="F8" s="8" t="s">
        <v>271</v>
      </c>
      <c r="G8" s="8" t="s">
        <v>1264</v>
      </c>
      <c r="H8" s="8" t="s">
        <v>272</v>
      </c>
      <c r="I8" s="9" t="s">
        <v>1265</v>
      </c>
      <c r="J8" s="9"/>
      <c r="K8" s="9"/>
      <c r="L8" s="8"/>
    </row>
    <row r="9" customFormat="false" ht="23.85" hidden="false" customHeight="false" outlineLevel="0" collapsed="false">
      <c r="A9" s="8" t="s">
        <v>1276</v>
      </c>
      <c r="B9" s="8" t="s">
        <v>58</v>
      </c>
      <c r="C9" s="8" t="s">
        <v>269</v>
      </c>
      <c r="D9" s="8" t="s">
        <v>1277</v>
      </c>
      <c r="E9" s="8" t="s">
        <v>1263</v>
      </c>
      <c r="F9" s="8" t="s">
        <v>271</v>
      </c>
      <c r="G9" s="8" t="s">
        <v>1264</v>
      </c>
      <c r="H9" s="8" t="s">
        <v>272</v>
      </c>
      <c r="I9" s="9" t="s">
        <v>1265</v>
      </c>
      <c r="J9" s="9"/>
      <c r="K9" s="9"/>
      <c r="L9" s="8"/>
    </row>
    <row r="10" customFormat="false" ht="23.85" hidden="false" customHeight="false" outlineLevel="0" collapsed="false">
      <c r="A10" s="8" t="s">
        <v>1278</v>
      </c>
      <c r="B10" s="8" t="s">
        <v>58</v>
      </c>
      <c r="C10" s="8" t="s">
        <v>269</v>
      </c>
      <c r="D10" s="8" t="s">
        <v>1279</v>
      </c>
      <c r="E10" s="8" t="s">
        <v>1263</v>
      </c>
      <c r="F10" s="8" t="s">
        <v>271</v>
      </c>
      <c r="G10" s="8" t="s">
        <v>1264</v>
      </c>
      <c r="H10" s="8" t="s">
        <v>272</v>
      </c>
      <c r="I10" s="9" t="s">
        <v>1265</v>
      </c>
      <c r="J10" s="9"/>
      <c r="K10" s="9"/>
      <c r="L10" s="8"/>
    </row>
    <row r="11" customFormat="false" ht="23.85" hidden="false" customHeight="false" outlineLevel="0" collapsed="false">
      <c r="A11" s="8" t="s">
        <v>1280</v>
      </c>
      <c r="B11" s="8" t="s">
        <v>277</v>
      </c>
      <c r="C11" s="8" t="s">
        <v>278</v>
      </c>
      <c r="D11" s="8" t="s">
        <v>1281</v>
      </c>
      <c r="E11" s="8" t="s">
        <v>1263</v>
      </c>
      <c r="F11" s="8" t="s">
        <v>172</v>
      </c>
      <c r="G11" s="8" t="s">
        <v>1264</v>
      </c>
      <c r="H11" s="8" t="s">
        <v>281</v>
      </c>
      <c r="I11" s="9" t="s">
        <v>1265</v>
      </c>
      <c r="J11" s="9"/>
      <c r="K11" s="9"/>
      <c r="L11" s="8"/>
    </row>
    <row r="12" customFormat="false" ht="23.85" hidden="false" customHeight="false" outlineLevel="0" collapsed="false">
      <c r="A12" s="8" t="s">
        <v>1282</v>
      </c>
      <c r="B12" s="8" t="s">
        <v>277</v>
      </c>
      <c r="C12" s="8" t="s">
        <v>278</v>
      </c>
      <c r="D12" s="8" t="s">
        <v>1283</v>
      </c>
      <c r="E12" s="8" t="s">
        <v>1263</v>
      </c>
      <c r="F12" s="8" t="s">
        <v>172</v>
      </c>
      <c r="G12" s="8" t="s">
        <v>1264</v>
      </c>
      <c r="H12" s="8" t="s">
        <v>281</v>
      </c>
      <c r="I12" s="9" t="s">
        <v>1265</v>
      </c>
      <c r="J12" s="9"/>
      <c r="K12" s="9"/>
      <c r="L12" s="8"/>
    </row>
    <row r="13" customFormat="false" ht="23.85" hidden="false" customHeight="false" outlineLevel="0" collapsed="false">
      <c r="A13" s="8" t="s">
        <v>1284</v>
      </c>
      <c r="B13" s="8" t="s">
        <v>277</v>
      </c>
      <c r="C13" s="8" t="s">
        <v>278</v>
      </c>
      <c r="D13" s="8" t="s">
        <v>1285</v>
      </c>
      <c r="E13" s="8" t="s">
        <v>1263</v>
      </c>
      <c r="F13" s="8" t="s">
        <v>172</v>
      </c>
      <c r="G13" s="8" t="s">
        <v>1264</v>
      </c>
      <c r="H13" s="8" t="s">
        <v>281</v>
      </c>
      <c r="I13" s="9" t="s">
        <v>1265</v>
      </c>
      <c r="J13" s="9"/>
      <c r="K13" s="9"/>
      <c r="L13" s="8"/>
    </row>
    <row r="14" customFormat="false" ht="23.85" hidden="false" customHeight="false" outlineLevel="0" collapsed="false">
      <c r="A14" s="8" t="s">
        <v>1286</v>
      </c>
      <c r="B14" s="8" t="s">
        <v>287</v>
      </c>
      <c r="C14" s="8" t="s">
        <v>288</v>
      </c>
      <c r="D14" s="8" t="s">
        <v>1287</v>
      </c>
      <c r="E14" s="8" t="s">
        <v>1263</v>
      </c>
      <c r="F14" s="8" t="s">
        <v>91</v>
      </c>
      <c r="G14" s="8" t="s">
        <v>1264</v>
      </c>
      <c r="H14" s="8" t="s">
        <v>281</v>
      </c>
      <c r="I14" s="9" t="s">
        <v>1265</v>
      </c>
      <c r="J14" s="9"/>
      <c r="K14" s="9"/>
      <c r="L14" s="8"/>
    </row>
    <row r="15" customFormat="false" ht="23.85" hidden="false" customHeight="false" outlineLevel="0" collapsed="false">
      <c r="A15" s="8" t="s">
        <v>1288</v>
      </c>
      <c r="B15" s="8" t="s">
        <v>287</v>
      </c>
      <c r="C15" s="8" t="s">
        <v>288</v>
      </c>
      <c r="D15" s="8" t="s">
        <v>1289</v>
      </c>
      <c r="E15" s="8" t="s">
        <v>1263</v>
      </c>
      <c r="F15" s="8" t="s">
        <v>91</v>
      </c>
      <c r="G15" s="8" t="s">
        <v>1264</v>
      </c>
      <c r="H15" s="8" t="s">
        <v>281</v>
      </c>
      <c r="I15" s="9" t="s">
        <v>1265</v>
      </c>
      <c r="J15" s="9"/>
      <c r="K15" s="9"/>
      <c r="L15" s="8"/>
    </row>
    <row r="16" customFormat="false" ht="23.85" hidden="false" customHeight="false" outlineLevel="0" collapsed="false">
      <c r="A16" s="8" t="s">
        <v>1290</v>
      </c>
      <c r="B16" s="8" t="s">
        <v>52</v>
      </c>
      <c r="C16" s="8" t="s">
        <v>294</v>
      </c>
      <c r="D16" s="8" t="s">
        <v>1291</v>
      </c>
      <c r="E16" s="8" t="s">
        <v>1263</v>
      </c>
      <c r="F16" s="8" t="s">
        <v>296</v>
      </c>
      <c r="G16" s="8" t="s">
        <v>1222</v>
      </c>
      <c r="H16" s="8" t="s">
        <v>272</v>
      </c>
      <c r="I16" s="9" t="s">
        <v>1265</v>
      </c>
      <c r="J16" s="9"/>
      <c r="K16" s="9"/>
      <c r="L16" s="8"/>
    </row>
    <row r="17" customFormat="false" ht="23.85" hidden="false" customHeight="false" outlineLevel="0" collapsed="false">
      <c r="A17" s="8" t="s">
        <v>1292</v>
      </c>
      <c r="B17" s="8" t="s">
        <v>52</v>
      </c>
      <c r="C17" s="8" t="s">
        <v>294</v>
      </c>
      <c r="D17" s="8" t="s">
        <v>1293</v>
      </c>
      <c r="E17" s="8" t="s">
        <v>1263</v>
      </c>
      <c r="F17" s="8" t="s">
        <v>296</v>
      </c>
      <c r="G17" s="8" t="s">
        <v>1222</v>
      </c>
      <c r="H17" s="8" t="s">
        <v>272</v>
      </c>
      <c r="I17" s="9" t="s">
        <v>1265</v>
      </c>
      <c r="J17" s="9"/>
      <c r="K17" s="9"/>
      <c r="L17" s="8"/>
    </row>
    <row r="18" customFormat="false" ht="23.85" hidden="false" customHeight="false" outlineLevel="0" collapsed="false">
      <c r="A18" s="8" t="s">
        <v>1294</v>
      </c>
      <c r="B18" s="8" t="s">
        <v>52</v>
      </c>
      <c r="C18" s="8" t="s">
        <v>294</v>
      </c>
      <c r="D18" s="8" t="s">
        <v>1295</v>
      </c>
      <c r="E18" s="8" t="s">
        <v>1263</v>
      </c>
      <c r="F18" s="8" t="s">
        <v>296</v>
      </c>
      <c r="G18" s="8" t="s">
        <v>1222</v>
      </c>
      <c r="H18" s="8" t="s">
        <v>272</v>
      </c>
      <c r="I18" s="9" t="s">
        <v>1265</v>
      </c>
      <c r="J18" s="9"/>
      <c r="K18" s="9"/>
      <c r="L18" s="8"/>
    </row>
    <row r="19" customFormat="false" ht="15" hidden="false" customHeight="false" outlineLevel="0" collapsed="false">
      <c r="A19" s="8" t="s">
        <v>1296</v>
      </c>
      <c r="B19" s="8" t="s">
        <v>302</v>
      </c>
      <c r="C19" s="8" t="s">
        <v>303</v>
      </c>
      <c r="D19" s="8" t="s">
        <v>307</v>
      </c>
      <c r="E19" s="8" t="s">
        <v>1297</v>
      </c>
      <c r="F19" s="8" t="s">
        <v>113</v>
      </c>
      <c r="G19" s="8" t="s">
        <v>1264</v>
      </c>
      <c r="H19" s="8" t="s">
        <v>254</v>
      </c>
      <c r="I19" s="9" t="s">
        <v>1265</v>
      </c>
      <c r="J19" s="9"/>
      <c r="K19" s="9"/>
      <c r="L19" s="8"/>
    </row>
    <row r="20" customFormat="false" ht="23.85" hidden="false" customHeight="false" outlineLevel="0" collapsed="false">
      <c r="A20" s="8" t="s">
        <v>1298</v>
      </c>
      <c r="B20" s="8" t="s">
        <v>310</v>
      </c>
      <c r="C20" s="8" t="s">
        <v>311</v>
      </c>
      <c r="D20" s="8" t="s">
        <v>315</v>
      </c>
      <c r="E20" s="8" t="s">
        <v>1297</v>
      </c>
      <c r="F20" s="8" t="s">
        <v>252</v>
      </c>
      <c r="G20" s="8" t="s">
        <v>1218</v>
      </c>
      <c r="H20" s="8" t="s">
        <v>254</v>
      </c>
      <c r="I20" s="9" t="s">
        <v>1265</v>
      </c>
      <c r="J20" s="9"/>
      <c r="K20" s="9"/>
      <c r="L20" s="8"/>
    </row>
    <row r="21" customFormat="false" ht="15" hidden="false" customHeight="false" outlineLevel="0" collapsed="false">
      <c r="A21" s="8" t="s">
        <v>1299</v>
      </c>
      <c r="B21" s="8" t="s">
        <v>318</v>
      </c>
      <c r="C21" s="8" t="s">
        <v>319</v>
      </c>
      <c r="D21" s="8" t="s">
        <v>1300</v>
      </c>
      <c r="E21" s="8" t="s">
        <v>1297</v>
      </c>
      <c r="F21" s="8" t="s">
        <v>252</v>
      </c>
      <c r="G21" s="8" t="s">
        <v>1218</v>
      </c>
      <c r="H21" s="8" t="s">
        <v>232</v>
      </c>
      <c r="I21" s="9" t="s">
        <v>1265</v>
      </c>
      <c r="J21" s="9"/>
      <c r="K21" s="9"/>
      <c r="L21" s="8"/>
    </row>
    <row r="22" customFormat="false" ht="15" hidden="false" customHeight="false" outlineLevel="0" collapsed="false">
      <c r="A22" s="8" t="s">
        <v>1301</v>
      </c>
      <c r="B22" s="8" t="s">
        <v>318</v>
      </c>
      <c r="C22" s="8" t="s">
        <v>319</v>
      </c>
      <c r="D22" s="8" t="s">
        <v>1302</v>
      </c>
      <c r="E22" s="8" t="s">
        <v>1297</v>
      </c>
      <c r="F22" s="8" t="s">
        <v>252</v>
      </c>
      <c r="G22" s="8" t="s">
        <v>1218</v>
      </c>
      <c r="H22" s="8" t="s">
        <v>232</v>
      </c>
      <c r="I22" s="9" t="s">
        <v>1265</v>
      </c>
      <c r="J22" s="9"/>
      <c r="K22" s="9"/>
      <c r="L22" s="8"/>
    </row>
    <row r="23" customFormat="false" ht="23.85" hidden="false" customHeight="false" outlineLevel="0" collapsed="false">
      <c r="A23" s="8" t="s">
        <v>1303</v>
      </c>
      <c r="B23" s="8" t="s">
        <v>325</v>
      </c>
      <c r="C23" s="8" t="s">
        <v>326</v>
      </c>
      <c r="D23" s="8" t="s">
        <v>1304</v>
      </c>
      <c r="E23" s="8" t="s">
        <v>1263</v>
      </c>
      <c r="F23" s="8" t="s">
        <v>113</v>
      </c>
      <c r="G23" s="8" t="s">
        <v>1264</v>
      </c>
      <c r="H23" s="8" t="s">
        <v>254</v>
      </c>
      <c r="I23" s="9" t="s">
        <v>1265</v>
      </c>
      <c r="J23" s="9"/>
      <c r="K23" s="9"/>
      <c r="L23" s="8"/>
    </row>
    <row r="24" customFormat="false" ht="23.85" hidden="false" customHeight="false" outlineLevel="0" collapsed="false">
      <c r="A24" s="8" t="s">
        <v>1305</v>
      </c>
      <c r="B24" s="8" t="s">
        <v>325</v>
      </c>
      <c r="C24" s="8" t="s">
        <v>326</v>
      </c>
      <c r="D24" s="8" t="s">
        <v>1306</v>
      </c>
      <c r="E24" s="8" t="s">
        <v>1263</v>
      </c>
      <c r="F24" s="8" t="s">
        <v>113</v>
      </c>
      <c r="G24" s="8" t="s">
        <v>1264</v>
      </c>
      <c r="H24" s="8" t="s">
        <v>254</v>
      </c>
      <c r="I24" s="9" t="s">
        <v>1265</v>
      </c>
      <c r="J24" s="9"/>
      <c r="K24" s="9"/>
      <c r="L24" s="8"/>
    </row>
    <row r="25" customFormat="false" ht="15" hidden="false" customHeight="false" outlineLevel="0" collapsed="false">
      <c r="A25" s="8" t="s">
        <v>1307</v>
      </c>
      <c r="B25" s="8" t="s">
        <v>332</v>
      </c>
      <c r="C25" s="8" t="s">
        <v>333</v>
      </c>
      <c r="D25" s="8" t="s">
        <v>1308</v>
      </c>
      <c r="E25" s="8" t="s">
        <v>1297</v>
      </c>
      <c r="F25" s="8" t="s">
        <v>113</v>
      </c>
      <c r="G25" s="8" t="s">
        <v>1264</v>
      </c>
      <c r="H25" s="8" t="s">
        <v>254</v>
      </c>
      <c r="I25" s="9" t="s">
        <v>1265</v>
      </c>
      <c r="J25" s="9"/>
      <c r="K25" s="9"/>
      <c r="L25" s="8"/>
    </row>
    <row r="26" customFormat="false" ht="15" hidden="false" customHeight="false" outlineLevel="0" collapsed="false">
      <c r="A26" s="8" t="s">
        <v>1309</v>
      </c>
      <c r="B26" s="8" t="s">
        <v>332</v>
      </c>
      <c r="C26" s="8" t="s">
        <v>333</v>
      </c>
      <c r="D26" s="8" t="s">
        <v>1310</v>
      </c>
      <c r="E26" s="8" t="s">
        <v>1297</v>
      </c>
      <c r="F26" s="8" t="s">
        <v>113</v>
      </c>
      <c r="G26" s="8" t="s">
        <v>1264</v>
      </c>
      <c r="H26" s="8" t="s">
        <v>254</v>
      </c>
      <c r="I26" s="9" t="s">
        <v>1265</v>
      </c>
      <c r="J26" s="9"/>
      <c r="K26" s="9"/>
      <c r="L26" s="8"/>
    </row>
    <row r="27" customFormat="false" ht="23.85" hidden="false" customHeight="false" outlineLevel="0" collapsed="false">
      <c r="A27" s="8" t="s">
        <v>1311</v>
      </c>
      <c r="B27" s="8" t="s">
        <v>339</v>
      </c>
      <c r="C27" s="8" t="s">
        <v>340</v>
      </c>
      <c r="D27" s="8" t="s">
        <v>1312</v>
      </c>
      <c r="E27" s="8" t="s">
        <v>1263</v>
      </c>
      <c r="F27" s="8" t="s">
        <v>172</v>
      </c>
      <c r="G27" s="8" t="s">
        <v>1264</v>
      </c>
      <c r="H27" s="8" t="s">
        <v>232</v>
      </c>
      <c r="I27" s="9" t="s">
        <v>1265</v>
      </c>
      <c r="J27" s="9"/>
      <c r="K27" s="9"/>
      <c r="L27" s="8"/>
    </row>
    <row r="28" customFormat="false" ht="23.85" hidden="false" customHeight="false" outlineLevel="0" collapsed="false">
      <c r="A28" s="8" t="s">
        <v>1313</v>
      </c>
      <c r="B28" s="8" t="s">
        <v>339</v>
      </c>
      <c r="C28" s="8" t="s">
        <v>340</v>
      </c>
      <c r="D28" s="8" t="s">
        <v>1314</v>
      </c>
      <c r="E28" s="8" t="s">
        <v>1263</v>
      </c>
      <c r="F28" s="8" t="s">
        <v>172</v>
      </c>
      <c r="G28" s="8" t="s">
        <v>1264</v>
      </c>
      <c r="H28" s="8" t="s">
        <v>232</v>
      </c>
      <c r="I28" s="9" t="s">
        <v>1265</v>
      </c>
      <c r="J28" s="9"/>
      <c r="K28" s="9"/>
      <c r="L28" s="8"/>
    </row>
    <row r="29" customFormat="false" ht="23.85" hidden="false" customHeight="false" outlineLevel="0" collapsed="false">
      <c r="A29" s="8" t="s">
        <v>1315</v>
      </c>
      <c r="B29" s="8" t="s">
        <v>346</v>
      </c>
      <c r="C29" s="8" t="s">
        <v>347</v>
      </c>
      <c r="D29" s="8" t="s">
        <v>350</v>
      </c>
      <c r="E29" s="8" t="s">
        <v>1263</v>
      </c>
      <c r="F29" s="8" t="s">
        <v>172</v>
      </c>
      <c r="G29" s="8" t="s">
        <v>1264</v>
      </c>
      <c r="H29" s="8" t="s">
        <v>232</v>
      </c>
      <c r="I29" s="9" t="s">
        <v>1265</v>
      </c>
      <c r="J29" s="9"/>
      <c r="K29" s="9"/>
      <c r="L29" s="8"/>
    </row>
    <row r="30" customFormat="false" ht="15" hidden="false" customHeight="false" outlineLevel="0" collapsed="false">
      <c r="A30" s="8" t="s">
        <v>1316</v>
      </c>
      <c r="B30" s="8" t="s">
        <v>352</v>
      </c>
      <c r="C30" s="8" t="s">
        <v>353</v>
      </c>
      <c r="D30" s="8" t="s">
        <v>356</v>
      </c>
      <c r="E30" s="8" t="s">
        <v>1297</v>
      </c>
      <c r="F30" s="8" t="s">
        <v>262</v>
      </c>
      <c r="G30" s="8" t="s">
        <v>1264</v>
      </c>
      <c r="H30" s="8" t="s">
        <v>232</v>
      </c>
      <c r="I30" s="9" t="s">
        <v>1265</v>
      </c>
      <c r="J30" s="9"/>
      <c r="K30" s="9"/>
      <c r="L30" s="8"/>
    </row>
    <row r="31" customFormat="false" ht="23.85" hidden="false" customHeight="false" outlineLevel="0" collapsed="false">
      <c r="A31" s="8" t="s">
        <v>1317</v>
      </c>
      <c r="B31" s="8" t="s">
        <v>360</v>
      </c>
      <c r="C31" s="8" t="s">
        <v>361</v>
      </c>
      <c r="D31" s="8" t="s">
        <v>365</v>
      </c>
      <c r="E31" s="8" t="s">
        <v>1263</v>
      </c>
      <c r="F31" s="8" t="s">
        <v>172</v>
      </c>
      <c r="G31" s="8" t="s">
        <v>1264</v>
      </c>
      <c r="H31" s="8" t="s">
        <v>363</v>
      </c>
      <c r="I31" s="9" t="s">
        <v>1265</v>
      </c>
      <c r="J31" s="9"/>
      <c r="K31" s="9"/>
      <c r="L31" s="8"/>
    </row>
    <row r="32" customFormat="false" ht="23.85" hidden="false" customHeight="false" outlineLevel="0" collapsed="false">
      <c r="A32" s="8" t="s">
        <v>1318</v>
      </c>
      <c r="B32" s="8" t="s">
        <v>367</v>
      </c>
      <c r="C32" s="8" t="s">
        <v>368</v>
      </c>
      <c r="D32" s="8" t="s">
        <v>372</v>
      </c>
      <c r="E32" s="8" t="s">
        <v>1263</v>
      </c>
      <c r="F32" s="8" t="s">
        <v>172</v>
      </c>
      <c r="G32" s="8" t="s">
        <v>1264</v>
      </c>
      <c r="H32" s="8" t="s">
        <v>272</v>
      </c>
      <c r="I32" s="9" t="s">
        <v>1265</v>
      </c>
      <c r="J32" s="9"/>
      <c r="K32" s="9"/>
      <c r="L32" s="8"/>
    </row>
    <row r="33" customFormat="false" ht="15" hidden="false" customHeight="false" outlineLevel="0" collapsed="false">
      <c r="A33" s="8" t="s">
        <v>1319</v>
      </c>
      <c r="B33" s="8" t="s">
        <v>375</v>
      </c>
      <c r="C33" s="8" t="s">
        <v>376</v>
      </c>
      <c r="D33" s="8" t="s">
        <v>379</v>
      </c>
      <c r="E33" s="8" t="s">
        <v>1297</v>
      </c>
      <c r="F33" s="8" t="s">
        <v>172</v>
      </c>
      <c r="G33" s="8" t="s">
        <v>1264</v>
      </c>
      <c r="H33" s="8" t="s">
        <v>272</v>
      </c>
      <c r="I33" s="9" t="s">
        <v>1265</v>
      </c>
      <c r="J33" s="9"/>
      <c r="K33" s="9"/>
      <c r="L33" s="8"/>
    </row>
    <row r="34" customFormat="false" ht="23.85" hidden="false" customHeight="false" outlineLevel="0" collapsed="false">
      <c r="A34" s="8" t="s">
        <v>1320</v>
      </c>
      <c r="B34" s="8" t="s">
        <v>383</v>
      </c>
      <c r="C34" s="8" t="s">
        <v>384</v>
      </c>
      <c r="D34" s="8" t="s">
        <v>386</v>
      </c>
      <c r="E34" s="8" t="s">
        <v>1297</v>
      </c>
      <c r="F34" s="8" t="s">
        <v>172</v>
      </c>
      <c r="G34" s="8" t="s">
        <v>1264</v>
      </c>
      <c r="H34" s="8" t="s">
        <v>281</v>
      </c>
      <c r="I34" s="9" t="s">
        <v>1265</v>
      </c>
      <c r="J34" s="9"/>
      <c r="K34" s="9"/>
      <c r="L34" s="8"/>
    </row>
    <row r="35" customFormat="false" ht="23.85" hidden="false" customHeight="false" outlineLevel="0" collapsed="false">
      <c r="A35" s="8" t="s">
        <v>1321</v>
      </c>
      <c r="B35" s="8" t="s">
        <v>388</v>
      </c>
      <c r="C35" s="8" t="s">
        <v>389</v>
      </c>
      <c r="D35" s="8" t="s">
        <v>1322</v>
      </c>
      <c r="E35" s="8" t="s">
        <v>1323</v>
      </c>
      <c r="F35" s="8" t="s">
        <v>391</v>
      </c>
      <c r="G35" s="8" t="s">
        <v>1162</v>
      </c>
      <c r="H35" s="8" t="s">
        <v>394</v>
      </c>
      <c r="I35" s="9" t="s">
        <v>1265</v>
      </c>
      <c r="J35" s="9"/>
      <c r="K35" s="9"/>
      <c r="L35" s="8"/>
    </row>
    <row r="36" customFormat="false" ht="23.85" hidden="false" customHeight="false" outlineLevel="0" collapsed="false">
      <c r="A36" s="8" t="s">
        <v>1324</v>
      </c>
      <c r="B36" s="8" t="s">
        <v>388</v>
      </c>
      <c r="C36" s="8" t="s">
        <v>389</v>
      </c>
      <c r="D36" s="8" t="s">
        <v>1325</v>
      </c>
      <c r="E36" s="8" t="s">
        <v>1323</v>
      </c>
      <c r="F36" s="8" t="s">
        <v>391</v>
      </c>
      <c r="G36" s="8" t="s">
        <v>1162</v>
      </c>
      <c r="H36" s="8" t="s">
        <v>394</v>
      </c>
      <c r="I36" s="9" t="s">
        <v>1265</v>
      </c>
      <c r="J36" s="9"/>
      <c r="K36" s="9"/>
      <c r="L36" s="8"/>
    </row>
    <row r="37" customFormat="false" ht="23.85" hidden="false" customHeight="false" outlineLevel="0" collapsed="false">
      <c r="A37" s="8" t="s">
        <v>1326</v>
      </c>
      <c r="B37" s="8" t="s">
        <v>388</v>
      </c>
      <c r="C37" s="8" t="s">
        <v>389</v>
      </c>
      <c r="D37" s="8" t="s">
        <v>1327</v>
      </c>
      <c r="E37" s="8" t="s">
        <v>1323</v>
      </c>
      <c r="F37" s="8" t="s">
        <v>391</v>
      </c>
      <c r="G37" s="8" t="s">
        <v>1162</v>
      </c>
      <c r="H37" s="8" t="s">
        <v>394</v>
      </c>
      <c r="I37" s="9" t="s">
        <v>1265</v>
      </c>
      <c r="J37" s="9"/>
      <c r="K37" s="9"/>
      <c r="L37" s="8"/>
    </row>
    <row r="38" customFormat="false" ht="15" hidden="false" customHeight="false" outlineLevel="0" collapsed="false">
      <c r="A38" s="8" t="s">
        <v>1328</v>
      </c>
      <c r="B38" s="8" t="s">
        <v>401</v>
      </c>
      <c r="C38" s="8" t="s">
        <v>402</v>
      </c>
      <c r="D38" s="8" t="s">
        <v>1329</v>
      </c>
      <c r="E38" s="8" t="s">
        <v>1323</v>
      </c>
      <c r="F38" s="8" t="s">
        <v>404</v>
      </c>
      <c r="G38" s="8" t="s">
        <v>1330</v>
      </c>
      <c r="H38" s="8" t="s">
        <v>394</v>
      </c>
      <c r="I38" s="9" t="s">
        <v>1265</v>
      </c>
      <c r="J38" s="9"/>
      <c r="K38" s="9"/>
      <c r="L38" s="8"/>
    </row>
    <row r="39" customFormat="false" ht="15" hidden="false" customHeight="false" outlineLevel="0" collapsed="false">
      <c r="A39" s="8" t="s">
        <v>1331</v>
      </c>
      <c r="B39" s="8" t="s">
        <v>401</v>
      </c>
      <c r="C39" s="8" t="s">
        <v>402</v>
      </c>
      <c r="D39" s="8" t="s">
        <v>1332</v>
      </c>
      <c r="E39" s="8" t="s">
        <v>1323</v>
      </c>
      <c r="F39" s="8" t="s">
        <v>404</v>
      </c>
      <c r="G39" s="8" t="s">
        <v>1330</v>
      </c>
      <c r="H39" s="8" t="s">
        <v>394</v>
      </c>
      <c r="I39" s="9" t="s">
        <v>1265</v>
      </c>
      <c r="J39" s="9"/>
      <c r="K39" s="9"/>
      <c r="L39" s="8"/>
    </row>
    <row r="40" customFormat="false" ht="15" hidden="false" customHeight="false" outlineLevel="0" collapsed="false">
      <c r="A40" s="8" t="s">
        <v>1333</v>
      </c>
      <c r="B40" s="8" t="s">
        <v>410</v>
      </c>
      <c r="C40" s="8" t="s">
        <v>411</v>
      </c>
      <c r="D40" s="8" t="s">
        <v>414</v>
      </c>
      <c r="E40" s="8" t="s">
        <v>1323</v>
      </c>
      <c r="F40" s="8" t="s">
        <v>413</v>
      </c>
      <c r="G40" s="8" t="s">
        <v>1168</v>
      </c>
      <c r="H40" s="8" t="s">
        <v>394</v>
      </c>
      <c r="I40" s="9" t="s">
        <v>1265</v>
      </c>
      <c r="J40" s="9"/>
      <c r="K40" s="9"/>
      <c r="L40" s="8"/>
    </row>
    <row r="41" customFormat="false" ht="23.85" hidden="false" customHeight="false" outlineLevel="0" collapsed="false">
      <c r="A41" s="8" t="s">
        <v>1334</v>
      </c>
      <c r="B41" s="8" t="s">
        <v>418</v>
      </c>
      <c r="C41" s="8" t="s">
        <v>419</v>
      </c>
      <c r="D41" s="8" t="s">
        <v>1335</v>
      </c>
      <c r="E41" s="8" t="s">
        <v>1263</v>
      </c>
      <c r="F41" s="8" t="s">
        <v>421</v>
      </c>
      <c r="G41" s="8" t="s">
        <v>1336</v>
      </c>
      <c r="H41" s="8" t="s">
        <v>422</v>
      </c>
      <c r="I41" s="9" t="s">
        <v>1265</v>
      </c>
      <c r="J41" s="9"/>
      <c r="K41" s="9"/>
      <c r="L41" s="8"/>
    </row>
    <row r="42" customFormat="false" ht="23.85" hidden="false" customHeight="false" outlineLevel="0" collapsed="false">
      <c r="A42" s="8" t="s">
        <v>1337</v>
      </c>
      <c r="B42" s="8" t="s">
        <v>418</v>
      </c>
      <c r="C42" s="8" t="s">
        <v>419</v>
      </c>
      <c r="D42" s="8" t="s">
        <v>1338</v>
      </c>
      <c r="E42" s="8" t="s">
        <v>1263</v>
      </c>
      <c r="F42" s="8" t="s">
        <v>421</v>
      </c>
      <c r="G42" s="8" t="s">
        <v>1336</v>
      </c>
      <c r="H42" s="8" t="s">
        <v>422</v>
      </c>
      <c r="I42" s="9" t="s">
        <v>1265</v>
      </c>
      <c r="J42" s="9"/>
      <c r="K42" s="9"/>
      <c r="L42" s="8"/>
    </row>
    <row r="43" customFormat="false" ht="23.85" hidden="false" customHeight="false" outlineLevel="0" collapsed="false">
      <c r="A43" s="8" t="s">
        <v>1339</v>
      </c>
      <c r="B43" s="8" t="s">
        <v>428</v>
      </c>
      <c r="C43" s="8" t="s">
        <v>429</v>
      </c>
      <c r="D43" s="8" t="s">
        <v>1340</v>
      </c>
      <c r="E43" s="8" t="s">
        <v>1323</v>
      </c>
      <c r="F43" s="8" t="s">
        <v>431</v>
      </c>
      <c r="G43" s="8" t="s">
        <v>1191</v>
      </c>
      <c r="H43" s="8" t="s">
        <v>432</v>
      </c>
      <c r="I43" s="9" t="s">
        <v>1265</v>
      </c>
      <c r="J43" s="9"/>
      <c r="K43" s="9"/>
      <c r="L43" s="8"/>
    </row>
    <row r="44" customFormat="false" ht="23.85" hidden="false" customHeight="false" outlineLevel="0" collapsed="false">
      <c r="A44" s="8" t="s">
        <v>1341</v>
      </c>
      <c r="B44" s="8" t="s">
        <v>428</v>
      </c>
      <c r="C44" s="8" t="s">
        <v>429</v>
      </c>
      <c r="D44" s="8" t="s">
        <v>1342</v>
      </c>
      <c r="E44" s="8" t="s">
        <v>1323</v>
      </c>
      <c r="F44" s="8" t="s">
        <v>431</v>
      </c>
      <c r="G44" s="8" t="s">
        <v>1191</v>
      </c>
      <c r="H44" s="8" t="s">
        <v>432</v>
      </c>
      <c r="I44" s="9" t="s">
        <v>1265</v>
      </c>
      <c r="J44" s="9"/>
      <c r="K44" s="9"/>
      <c r="L44" s="8"/>
    </row>
    <row r="45" customFormat="false" ht="23.85" hidden="false" customHeight="false" outlineLevel="0" collapsed="false">
      <c r="A45" s="8" t="s">
        <v>1343</v>
      </c>
      <c r="B45" s="8" t="s">
        <v>428</v>
      </c>
      <c r="C45" s="8" t="s">
        <v>429</v>
      </c>
      <c r="D45" s="8" t="s">
        <v>1344</v>
      </c>
      <c r="E45" s="8" t="s">
        <v>1323</v>
      </c>
      <c r="F45" s="8" t="s">
        <v>431</v>
      </c>
      <c r="G45" s="8" t="s">
        <v>1191</v>
      </c>
      <c r="H45" s="8" t="s">
        <v>432</v>
      </c>
      <c r="I45" s="9" t="s">
        <v>1265</v>
      </c>
      <c r="J45" s="9"/>
      <c r="K45" s="9"/>
      <c r="L45" s="8"/>
    </row>
    <row r="46" customFormat="false" ht="15" hidden="false" customHeight="false" outlineLevel="0" collapsed="false">
      <c r="A46" s="8" t="s">
        <v>1345</v>
      </c>
      <c r="B46" s="8" t="s">
        <v>111</v>
      </c>
      <c r="C46" s="8" t="s">
        <v>438</v>
      </c>
      <c r="D46" s="8" t="s">
        <v>442</v>
      </c>
      <c r="E46" s="8" t="s">
        <v>1323</v>
      </c>
      <c r="F46" s="8" t="s">
        <v>440</v>
      </c>
      <c r="G46" s="8" t="s">
        <v>1264</v>
      </c>
      <c r="H46" s="8" t="s">
        <v>432</v>
      </c>
      <c r="I46" s="9" t="s">
        <v>1265</v>
      </c>
      <c r="J46" s="9"/>
      <c r="K46" s="9"/>
      <c r="L46" s="8"/>
    </row>
    <row r="47" customFormat="false" ht="23.85" hidden="false" customHeight="false" outlineLevel="0" collapsed="false">
      <c r="A47" s="8" t="s">
        <v>1346</v>
      </c>
      <c r="B47" s="8" t="s">
        <v>445</v>
      </c>
      <c r="C47" s="8" t="s">
        <v>446</v>
      </c>
      <c r="D47" s="8" t="s">
        <v>1347</v>
      </c>
      <c r="E47" s="8" t="s">
        <v>1323</v>
      </c>
      <c r="F47" s="8" t="s">
        <v>448</v>
      </c>
      <c r="G47" s="8" t="s">
        <v>1348</v>
      </c>
      <c r="H47" s="8" t="s">
        <v>449</v>
      </c>
      <c r="I47" s="9" t="s">
        <v>1265</v>
      </c>
      <c r="J47" s="9"/>
      <c r="K47" s="9"/>
      <c r="L47" s="8"/>
    </row>
    <row r="48" customFormat="false" ht="23.85" hidden="false" customHeight="false" outlineLevel="0" collapsed="false">
      <c r="A48" s="8" t="s">
        <v>1349</v>
      </c>
      <c r="B48" s="8" t="s">
        <v>445</v>
      </c>
      <c r="C48" s="8" t="s">
        <v>446</v>
      </c>
      <c r="D48" s="8" t="s">
        <v>1350</v>
      </c>
      <c r="E48" s="8" t="s">
        <v>1323</v>
      </c>
      <c r="F48" s="8" t="s">
        <v>448</v>
      </c>
      <c r="G48" s="8" t="s">
        <v>1348</v>
      </c>
      <c r="H48" s="8" t="s">
        <v>449</v>
      </c>
      <c r="I48" s="9" t="s">
        <v>1265</v>
      </c>
      <c r="J48" s="9"/>
      <c r="K48" s="9"/>
      <c r="L48" s="8"/>
    </row>
    <row r="49" customFormat="false" ht="23.85" hidden="false" customHeight="false" outlineLevel="0" collapsed="false">
      <c r="A49" s="8" t="s">
        <v>1351</v>
      </c>
      <c r="B49" s="8" t="s">
        <v>445</v>
      </c>
      <c r="C49" s="8" t="s">
        <v>446</v>
      </c>
      <c r="D49" s="8" t="s">
        <v>1352</v>
      </c>
      <c r="E49" s="8" t="s">
        <v>1323</v>
      </c>
      <c r="F49" s="8" t="s">
        <v>448</v>
      </c>
      <c r="G49" s="8" t="s">
        <v>1348</v>
      </c>
      <c r="H49" s="8" t="s">
        <v>449</v>
      </c>
      <c r="I49" s="9" t="s">
        <v>1265</v>
      </c>
      <c r="J49" s="9"/>
      <c r="K49" s="9"/>
      <c r="L49" s="8"/>
    </row>
    <row r="50" customFormat="false" ht="23.85" hidden="false" customHeight="false" outlineLevel="0" collapsed="false">
      <c r="A50" s="8" t="s">
        <v>1353</v>
      </c>
      <c r="B50" s="8" t="s">
        <v>454</v>
      </c>
      <c r="C50" s="8" t="s">
        <v>455</v>
      </c>
      <c r="D50" s="8" t="s">
        <v>458</v>
      </c>
      <c r="E50" s="8" t="s">
        <v>1323</v>
      </c>
      <c r="F50" s="8" t="s">
        <v>102</v>
      </c>
      <c r="G50" s="8" t="s">
        <v>1162</v>
      </c>
      <c r="H50" s="8" t="s">
        <v>394</v>
      </c>
      <c r="I50" s="9" t="s">
        <v>1265</v>
      </c>
      <c r="J50" s="9"/>
      <c r="K50" s="9"/>
      <c r="L50" s="8"/>
    </row>
    <row r="51" customFormat="false" ht="15" hidden="false" customHeight="false" outlineLevel="0" collapsed="false">
      <c r="A51" s="8" t="s">
        <v>1354</v>
      </c>
      <c r="B51" s="8" t="s">
        <v>461</v>
      </c>
      <c r="C51" s="8" t="s">
        <v>462</v>
      </c>
      <c r="D51" s="8" t="s">
        <v>1355</v>
      </c>
      <c r="E51" s="8" t="s">
        <v>1323</v>
      </c>
      <c r="F51" s="8" t="s">
        <v>464</v>
      </c>
      <c r="G51" s="8" t="s">
        <v>1264</v>
      </c>
      <c r="H51" s="8" t="s">
        <v>232</v>
      </c>
      <c r="I51" s="9" t="s">
        <v>1265</v>
      </c>
      <c r="J51" s="9"/>
      <c r="K51" s="9"/>
      <c r="L51" s="8"/>
    </row>
    <row r="52" customFormat="false" ht="15" hidden="false" customHeight="false" outlineLevel="0" collapsed="false">
      <c r="A52" s="8" t="s">
        <v>1356</v>
      </c>
      <c r="B52" s="8" t="s">
        <v>461</v>
      </c>
      <c r="C52" s="8" t="s">
        <v>462</v>
      </c>
      <c r="D52" s="8" t="s">
        <v>1357</v>
      </c>
      <c r="E52" s="8" t="s">
        <v>1323</v>
      </c>
      <c r="F52" s="8" t="s">
        <v>464</v>
      </c>
      <c r="G52" s="8" t="s">
        <v>1264</v>
      </c>
      <c r="H52" s="8" t="s">
        <v>232</v>
      </c>
      <c r="I52" s="9" t="s">
        <v>1265</v>
      </c>
      <c r="J52" s="9"/>
      <c r="K52" s="9"/>
      <c r="L52" s="8"/>
    </row>
    <row r="53" customFormat="false" ht="15" hidden="false" customHeight="false" outlineLevel="0" collapsed="false">
      <c r="A53" s="8" t="s">
        <v>1358</v>
      </c>
      <c r="B53" s="8" t="s">
        <v>461</v>
      </c>
      <c r="C53" s="8" t="s">
        <v>462</v>
      </c>
      <c r="D53" s="8" t="s">
        <v>1359</v>
      </c>
      <c r="E53" s="8" t="s">
        <v>1323</v>
      </c>
      <c r="F53" s="8" t="s">
        <v>464</v>
      </c>
      <c r="G53" s="8" t="s">
        <v>1264</v>
      </c>
      <c r="H53" s="8" t="s">
        <v>232</v>
      </c>
      <c r="I53" s="9" t="s">
        <v>1265</v>
      </c>
      <c r="J53" s="9"/>
      <c r="K53" s="9"/>
      <c r="L53" s="8"/>
    </row>
    <row r="54" customFormat="false" ht="23.85" hidden="false" customHeight="false" outlineLevel="0" collapsed="false">
      <c r="A54" s="8" t="s">
        <v>1360</v>
      </c>
      <c r="B54" s="8" t="s">
        <v>470</v>
      </c>
      <c r="C54" s="8" t="s">
        <v>471</v>
      </c>
      <c r="D54" s="8" t="s">
        <v>474</v>
      </c>
      <c r="E54" s="8" t="s">
        <v>1323</v>
      </c>
      <c r="F54" s="8" t="s">
        <v>66</v>
      </c>
      <c r="G54" s="8" t="s">
        <v>1177</v>
      </c>
      <c r="H54" s="8" t="s">
        <v>432</v>
      </c>
      <c r="I54" s="9" t="s">
        <v>1265</v>
      </c>
      <c r="J54" s="9"/>
      <c r="K54" s="9"/>
      <c r="L54" s="8"/>
    </row>
    <row r="55" customFormat="false" ht="23.85" hidden="false" customHeight="false" outlineLevel="0" collapsed="false">
      <c r="A55" s="8" t="s">
        <v>1361</v>
      </c>
      <c r="B55" s="8" t="s">
        <v>478</v>
      </c>
      <c r="C55" s="8" t="s">
        <v>479</v>
      </c>
      <c r="D55" s="8" t="s">
        <v>482</v>
      </c>
      <c r="E55" s="8" t="s">
        <v>1323</v>
      </c>
      <c r="F55" s="8" t="s">
        <v>66</v>
      </c>
      <c r="G55" s="8" t="s">
        <v>1362</v>
      </c>
      <c r="H55" s="8" t="s">
        <v>432</v>
      </c>
      <c r="I55" s="9" t="s">
        <v>1265</v>
      </c>
      <c r="J55" s="9"/>
      <c r="K55" s="9"/>
      <c r="L55" s="8"/>
    </row>
    <row r="56" customFormat="false" ht="15" hidden="false" customHeight="false" outlineLevel="0" collapsed="false">
      <c r="A56" s="8" t="s">
        <v>1363</v>
      </c>
      <c r="B56" s="8" t="s">
        <v>485</v>
      </c>
      <c r="C56" s="8" t="s">
        <v>486</v>
      </c>
      <c r="D56" s="8" t="s">
        <v>1364</v>
      </c>
      <c r="E56" s="8" t="s">
        <v>1323</v>
      </c>
      <c r="F56" s="8" t="s">
        <v>488</v>
      </c>
      <c r="G56" s="8" t="s">
        <v>1181</v>
      </c>
      <c r="H56" s="8" t="s">
        <v>432</v>
      </c>
      <c r="I56" s="9" t="s">
        <v>1265</v>
      </c>
      <c r="J56" s="9"/>
      <c r="K56" s="9"/>
      <c r="L56" s="8"/>
    </row>
    <row r="57" customFormat="false" ht="15" hidden="false" customHeight="false" outlineLevel="0" collapsed="false">
      <c r="A57" s="8" t="s">
        <v>1365</v>
      </c>
      <c r="B57" s="8" t="s">
        <v>485</v>
      </c>
      <c r="C57" s="8" t="s">
        <v>486</v>
      </c>
      <c r="D57" s="8" t="s">
        <v>1366</v>
      </c>
      <c r="E57" s="8" t="s">
        <v>1323</v>
      </c>
      <c r="F57" s="8" t="s">
        <v>488</v>
      </c>
      <c r="G57" s="8" t="s">
        <v>1181</v>
      </c>
      <c r="H57" s="8" t="s">
        <v>432</v>
      </c>
      <c r="I57" s="9" t="s">
        <v>1265</v>
      </c>
      <c r="J57" s="9"/>
      <c r="K57" s="9"/>
      <c r="L57" s="8"/>
    </row>
    <row r="58" customFormat="false" ht="15" hidden="false" customHeight="false" outlineLevel="0" collapsed="false">
      <c r="A58" s="8" t="s">
        <v>1367</v>
      </c>
      <c r="B58" s="8" t="s">
        <v>493</v>
      </c>
      <c r="C58" s="8" t="s">
        <v>494</v>
      </c>
      <c r="D58" s="8" t="s">
        <v>1368</v>
      </c>
      <c r="E58" s="8" t="s">
        <v>1323</v>
      </c>
      <c r="F58" s="8" t="s">
        <v>496</v>
      </c>
      <c r="G58" s="8" t="s">
        <v>1369</v>
      </c>
      <c r="H58" s="8" t="s">
        <v>497</v>
      </c>
      <c r="I58" s="9" t="s">
        <v>1265</v>
      </c>
      <c r="J58" s="9"/>
      <c r="K58" s="9"/>
      <c r="L58" s="8"/>
    </row>
    <row r="59" customFormat="false" ht="15" hidden="false" customHeight="false" outlineLevel="0" collapsed="false">
      <c r="A59" s="8" t="s">
        <v>1370</v>
      </c>
      <c r="B59" s="8" t="s">
        <v>493</v>
      </c>
      <c r="C59" s="8" t="s">
        <v>494</v>
      </c>
      <c r="D59" s="8" t="s">
        <v>1371</v>
      </c>
      <c r="E59" s="8" t="s">
        <v>1323</v>
      </c>
      <c r="F59" s="8" t="s">
        <v>496</v>
      </c>
      <c r="G59" s="8" t="s">
        <v>1369</v>
      </c>
      <c r="H59" s="8" t="s">
        <v>497</v>
      </c>
      <c r="I59" s="9" t="s">
        <v>1265</v>
      </c>
      <c r="J59" s="9"/>
      <c r="K59" s="9"/>
      <c r="L59" s="8"/>
    </row>
    <row r="60" customFormat="false" ht="15" hidden="false" customHeight="false" outlineLevel="0" collapsed="false">
      <c r="A60" s="8" t="s">
        <v>1372</v>
      </c>
      <c r="B60" s="8" t="s">
        <v>493</v>
      </c>
      <c r="C60" s="8" t="s">
        <v>494</v>
      </c>
      <c r="D60" s="8" t="s">
        <v>1373</v>
      </c>
      <c r="E60" s="8" t="s">
        <v>1323</v>
      </c>
      <c r="F60" s="8" t="s">
        <v>496</v>
      </c>
      <c r="G60" s="8" t="s">
        <v>1369</v>
      </c>
      <c r="H60" s="8" t="s">
        <v>497</v>
      </c>
      <c r="I60" s="9" t="s">
        <v>1265</v>
      </c>
      <c r="J60" s="9"/>
      <c r="K60" s="9"/>
      <c r="L60" s="8"/>
    </row>
    <row r="61" customFormat="false" ht="35.05" hidden="false" customHeight="false" outlineLevel="0" collapsed="false">
      <c r="A61" s="8" t="s">
        <v>1374</v>
      </c>
      <c r="B61" s="8" t="s">
        <v>89</v>
      </c>
      <c r="C61" s="8" t="s">
        <v>503</v>
      </c>
      <c r="D61" s="8" t="s">
        <v>1375</v>
      </c>
      <c r="E61" s="8" t="s">
        <v>1323</v>
      </c>
      <c r="F61" s="8" t="s">
        <v>505</v>
      </c>
      <c r="G61" s="8" t="s">
        <v>1376</v>
      </c>
      <c r="H61" s="8" t="s">
        <v>449</v>
      </c>
      <c r="I61" s="9" t="s">
        <v>1265</v>
      </c>
      <c r="J61" s="9"/>
      <c r="K61" s="9"/>
      <c r="L61" s="8"/>
    </row>
    <row r="62" customFormat="false" ht="35.05" hidden="false" customHeight="false" outlineLevel="0" collapsed="false">
      <c r="A62" s="8" t="s">
        <v>1377</v>
      </c>
      <c r="B62" s="8" t="s">
        <v>89</v>
      </c>
      <c r="C62" s="8" t="s">
        <v>503</v>
      </c>
      <c r="D62" s="8" t="s">
        <v>1378</v>
      </c>
      <c r="E62" s="8" t="s">
        <v>1323</v>
      </c>
      <c r="F62" s="8" t="s">
        <v>505</v>
      </c>
      <c r="G62" s="8" t="s">
        <v>1376</v>
      </c>
      <c r="H62" s="8" t="s">
        <v>449</v>
      </c>
      <c r="I62" s="9" t="s">
        <v>1265</v>
      </c>
      <c r="J62" s="9"/>
      <c r="K62" s="9"/>
      <c r="L62" s="8"/>
    </row>
    <row r="63" customFormat="false" ht="35.05" hidden="false" customHeight="false" outlineLevel="0" collapsed="false">
      <c r="A63" s="8" t="s">
        <v>1379</v>
      </c>
      <c r="B63" s="8" t="s">
        <v>89</v>
      </c>
      <c r="C63" s="8" t="s">
        <v>503</v>
      </c>
      <c r="D63" s="8" t="s">
        <v>1380</v>
      </c>
      <c r="E63" s="8" t="s">
        <v>1323</v>
      </c>
      <c r="F63" s="8" t="s">
        <v>505</v>
      </c>
      <c r="G63" s="8" t="s">
        <v>1376</v>
      </c>
      <c r="H63" s="8" t="s">
        <v>449</v>
      </c>
      <c r="I63" s="9" t="s">
        <v>1265</v>
      </c>
      <c r="J63" s="9"/>
      <c r="K63" s="9"/>
      <c r="L63" s="8"/>
    </row>
    <row r="64" customFormat="false" ht="23.85" hidden="false" customHeight="false" outlineLevel="0" collapsed="false">
      <c r="A64" s="8" t="s">
        <v>1381</v>
      </c>
      <c r="B64" s="8" t="s">
        <v>511</v>
      </c>
      <c r="C64" s="8" t="s">
        <v>512</v>
      </c>
      <c r="D64" s="8" t="s">
        <v>516</v>
      </c>
      <c r="E64" s="8" t="s">
        <v>1323</v>
      </c>
      <c r="F64" s="8" t="s">
        <v>514</v>
      </c>
      <c r="G64" s="8" t="s">
        <v>1382</v>
      </c>
      <c r="H64" s="8" t="s">
        <v>432</v>
      </c>
      <c r="I64" s="9" t="s">
        <v>1265</v>
      </c>
      <c r="J64" s="9"/>
      <c r="K64" s="9"/>
      <c r="L64" s="8"/>
    </row>
    <row r="65" customFormat="false" ht="23.85" hidden="false" customHeight="false" outlineLevel="0" collapsed="false">
      <c r="A65" s="8" t="s">
        <v>1383</v>
      </c>
      <c r="B65" s="8" t="s">
        <v>86</v>
      </c>
      <c r="C65" s="8" t="s">
        <v>520</v>
      </c>
      <c r="D65" s="8" t="s">
        <v>1384</v>
      </c>
      <c r="E65" s="8" t="s">
        <v>1323</v>
      </c>
      <c r="F65" s="8" t="s">
        <v>522</v>
      </c>
      <c r="G65" s="8" t="s">
        <v>1185</v>
      </c>
      <c r="H65" s="8" t="s">
        <v>449</v>
      </c>
      <c r="I65" s="9" t="s">
        <v>1265</v>
      </c>
      <c r="J65" s="9"/>
      <c r="K65" s="9"/>
      <c r="L65" s="8"/>
    </row>
    <row r="66" customFormat="false" ht="23.85" hidden="false" customHeight="false" outlineLevel="0" collapsed="false">
      <c r="A66" s="8" t="s">
        <v>1385</v>
      </c>
      <c r="B66" s="8" t="s">
        <v>86</v>
      </c>
      <c r="C66" s="8" t="s">
        <v>520</v>
      </c>
      <c r="D66" s="8" t="s">
        <v>1386</v>
      </c>
      <c r="E66" s="8" t="s">
        <v>1323</v>
      </c>
      <c r="F66" s="8" t="s">
        <v>522</v>
      </c>
      <c r="G66" s="8" t="s">
        <v>1185</v>
      </c>
      <c r="H66" s="8" t="s">
        <v>449</v>
      </c>
      <c r="I66" s="9" t="s">
        <v>1265</v>
      </c>
      <c r="J66" s="9"/>
      <c r="K66" s="9"/>
      <c r="L66" s="8"/>
    </row>
    <row r="67" customFormat="false" ht="23.85" hidden="false" customHeight="false" outlineLevel="0" collapsed="false">
      <c r="A67" s="8" t="s">
        <v>1387</v>
      </c>
      <c r="B67" s="8" t="s">
        <v>86</v>
      </c>
      <c r="C67" s="8" t="s">
        <v>520</v>
      </c>
      <c r="D67" s="8" t="s">
        <v>1388</v>
      </c>
      <c r="E67" s="8" t="s">
        <v>1323</v>
      </c>
      <c r="F67" s="8" t="s">
        <v>522</v>
      </c>
      <c r="G67" s="8" t="s">
        <v>1185</v>
      </c>
      <c r="H67" s="8" t="s">
        <v>449</v>
      </c>
      <c r="I67" s="9" t="s">
        <v>1265</v>
      </c>
      <c r="J67" s="9"/>
      <c r="K67" s="9"/>
      <c r="L67" s="8"/>
    </row>
    <row r="68" customFormat="false" ht="15" hidden="false" customHeight="false" outlineLevel="0" collapsed="false">
      <c r="A68" s="8" t="s">
        <v>1389</v>
      </c>
      <c r="B68" s="8" t="s">
        <v>528</v>
      </c>
      <c r="C68" s="8" t="s">
        <v>529</v>
      </c>
      <c r="D68" s="8" t="s">
        <v>1390</v>
      </c>
      <c r="E68" s="8" t="s">
        <v>1323</v>
      </c>
      <c r="F68" s="8" t="s">
        <v>531</v>
      </c>
      <c r="G68" s="8" t="s">
        <v>1264</v>
      </c>
      <c r="H68" s="8" t="s">
        <v>449</v>
      </c>
      <c r="I68" s="9" t="s">
        <v>1265</v>
      </c>
      <c r="J68" s="9"/>
      <c r="K68" s="9"/>
      <c r="L68" s="8"/>
    </row>
    <row r="69" customFormat="false" ht="15" hidden="false" customHeight="false" outlineLevel="0" collapsed="false">
      <c r="A69" s="8" t="s">
        <v>1391</v>
      </c>
      <c r="B69" s="8" t="s">
        <v>528</v>
      </c>
      <c r="C69" s="8" t="s">
        <v>529</v>
      </c>
      <c r="D69" s="8" t="s">
        <v>1392</v>
      </c>
      <c r="E69" s="8" t="s">
        <v>1323</v>
      </c>
      <c r="F69" s="8" t="s">
        <v>531</v>
      </c>
      <c r="G69" s="8" t="s">
        <v>1264</v>
      </c>
      <c r="H69" s="8" t="s">
        <v>449</v>
      </c>
      <c r="I69" s="9" t="s">
        <v>1265</v>
      </c>
      <c r="J69" s="9"/>
      <c r="K69" s="9"/>
      <c r="L69" s="8"/>
    </row>
    <row r="70" customFormat="false" ht="15" hidden="false" customHeight="false" outlineLevel="0" collapsed="false">
      <c r="A70" s="8" t="s">
        <v>1393</v>
      </c>
      <c r="B70" s="8" t="s">
        <v>528</v>
      </c>
      <c r="C70" s="8" t="s">
        <v>529</v>
      </c>
      <c r="D70" s="8" t="s">
        <v>1394</v>
      </c>
      <c r="E70" s="8" t="s">
        <v>1323</v>
      </c>
      <c r="F70" s="8" t="s">
        <v>531</v>
      </c>
      <c r="G70" s="8" t="s">
        <v>1264</v>
      </c>
      <c r="H70" s="8" t="s">
        <v>449</v>
      </c>
      <c r="I70" s="9" t="s">
        <v>1265</v>
      </c>
      <c r="J70" s="9"/>
      <c r="K70" s="9"/>
      <c r="L70" s="8"/>
    </row>
    <row r="71" customFormat="false" ht="15" hidden="false" customHeight="false" outlineLevel="0" collapsed="false">
      <c r="A71" s="8" t="s">
        <v>1395</v>
      </c>
      <c r="B71" s="8" t="s">
        <v>536</v>
      </c>
      <c r="C71" s="8" t="s">
        <v>537</v>
      </c>
      <c r="D71" s="8" t="s">
        <v>540</v>
      </c>
      <c r="E71" s="8" t="s">
        <v>1297</v>
      </c>
      <c r="F71" s="8" t="s">
        <v>539</v>
      </c>
      <c r="G71" s="8" t="s">
        <v>1236</v>
      </c>
      <c r="H71" s="8" t="s">
        <v>432</v>
      </c>
      <c r="I71" s="9" t="s">
        <v>1265</v>
      </c>
      <c r="J71" s="9"/>
      <c r="K71" s="9"/>
      <c r="L71" s="8"/>
    </row>
    <row r="72" customFormat="false" ht="15" hidden="false" customHeight="false" outlineLevel="0" collapsed="false">
      <c r="A72" s="8" t="s">
        <v>1396</v>
      </c>
      <c r="B72" s="8" t="s">
        <v>544</v>
      </c>
      <c r="C72" s="8" t="s">
        <v>545</v>
      </c>
      <c r="D72" s="8" t="s">
        <v>1397</v>
      </c>
      <c r="E72" s="8" t="s">
        <v>1323</v>
      </c>
      <c r="F72" s="8" t="s">
        <v>547</v>
      </c>
      <c r="G72" s="8" t="s">
        <v>1264</v>
      </c>
      <c r="H72" s="8" t="s">
        <v>449</v>
      </c>
      <c r="I72" s="9" t="s">
        <v>1265</v>
      </c>
      <c r="J72" s="9"/>
      <c r="K72" s="9"/>
      <c r="L72" s="8"/>
    </row>
    <row r="73" customFormat="false" ht="15" hidden="false" customHeight="false" outlineLevel="0" collapsed="false">
      <c r="A73" s="8" t="s">
        <v>1398</v>
      </c>
      <c r="B73" s="8" t="s">
        <v>544</v>
      </c>
      <c r="C73" s="8" t="s">
        <v>545</v>
      </c>
      <c r="D73" s="8" t="s">
        <v>1399</v>
      </c>
      <c r="E73" s="8" t="s">
        <v>1323</v>
      </c>
      <c r="F73" s="8" t="s">
        <v>547</v>
      </c>
      <c r="G73" s="8" t="s">
        <v>1264</v>
      </c>
      <c r="H73" s="8" t="s">
        <v>449</v>
      </c>
      <c r="I73" s="9" t="s">
        <v>1265</v>
      </c>
      <c r="J73" s="9"/>
      <c r="K73" s="9"/>
      <c r="L73" s="8"/>
    </row>
    <row r="74" customFormat="false" ht="15" hidden="false" customHeight="false" outlineLevel="0" collapsed="false">
      <c r="A74" s="8" t="s">
        <v>1400</v>
      </c>
      <c r="B74" s="8" t="s">
        <v>83</v>
      </c>
      <c r="C74" s="8" t="s">
        <v>553</v>
      </c>
      <c r="D74" s="8" t="s">
        <v>1401</v>
      </c>
      <c r="E74" s="8" t="s">
        <v>1323</v>
      </c>
      <c r="F74" s="8" t="s">
        <v>555</v>
      </c>
      <c r="G74" s="8" t="s">
        <v>1227</v>
      </c>
      <c r="H74" s="8" t="s">
        <v>449</v>
      </c>
      <c r="I74" s="9" t="s">
        <v>1265</v>
      </c>
      <c r="J74" s="9"/>
      <c r="K74" s="9"/>
      <c r="L74" s="8"/>
    </row>
    <row r="75" customFormat="false" ht="15" hidden="false" customHeight="false" outlineLevel="0" collapsed="false">
      <c r="A75" s="8" t="s">
        <v>1402</v>
      </c>
      <c r="B75" s="8" t="s">
        <v>83</v>
      </c>
      <c r="C75" s="8" t="s">
        <v>553</v>
      </c>
      <c r="D75" s="8" t="s">
        <v>1403</v>
      </c>
      <c r="E75" s="8" t="s">
        <v>1323</v>
      </c>
      <c r="F75" s="8" t="s">
        <v>555</v>
      </c>
      <c r="G75" s="8" t="s">
        <v>1227</v>
      </c>
      <c r="H75" s="8" t="s">
        <v>449</v>
      </c>
      <c r="I75" s="9" t="s">
        <v>1265</v>
      </c>
      <c r="J75" s="9"/>
      <c r="K75" s="9"/>
      <c r="L75" s="8"/>
    </row>
    <row r="76" customFormat="false" ht="15" hidden="false" customHeight="false" outlineLevel="0" collapsed="false">
      <c r="A76" s="8" t="s">
        <v>1404</v>
      </c>
      <c r="B76" s="8" t="s">
        <v>83</v>
      </c>
      <c r="C76" s="8" t="s">
        <v>553</v>
      </c>
      <c r="D76" s="8" t="s">
        <v>1405</v>
      </c>
      <c r="E76" s="8" t="s">
        <v>1323</v>
      </c>
      <c r="F76" s="8" t="s">
        <v>555</v>
      </c>
      <c r="G76" s="8" t="s">
        <v>1227</v>
      </c>
      <c r="H76" s="8" t="s">
        <v>449</v>
      </c>
      <c r="I76" s="9" t="s">
        <v>1265</v>
      </c>
      <c r="J76" s="9"/>
      <c r="K76" s="9"/>
      <c r="L76" s="8"/>
    </row>
    <row r="77" customFormat="false" ht="15" hidden="false" customHeight="false" outlineLevel="0" collapsed="false">
      <c r="A77" s="8" t="s">
        <v>1406</v>
      </c>
      <c r="B77" s="8" t="s">
        <v>561</v>
      </c>
      <c r="C77" s="8" t="s">
        <v>562</v>
      </c>
      <c r="D77" s="8" t="s">
        <v>565</v>
      </c>
      <c r="E77" s="8" t="s">
        <v>1297</v>
      </c>
      <c r="F77" s="8" t="s">
        <v>539</v>
      </c>
      <c r="G77" s="8" t="s">
        <v>1264</v>
      </c>
      <c r="H77" s="8" t="s">
        <v>497</v>
      </c>
      <c r="I77" s="9" t="s">
        <v>1265</v>
      </c>
      <c r="J77" s="9"/>
      <c r="K77" s="9"/>
      <c r="L77" s="8"/>
    </row>
    <row r="78" customFormat="false" ht="15" hidden="false" customHeight="false" outlineLevel="0" collapsed="false">
      <c r="A78" s="8" t="s">
        <v>1407</v>
      </c>
      <c r="B78" s="8" t="s">
        <v>569</v>
      </c>
      <c r="C78" s="8" t="s">
        <v>570</v>
      </c>
      <c r="D78" s="8" t="s">
        <v>1408</v>
      </c>
      <c r="E78" s="8" t="s">
        <v>1323</v>
      </c>
      <c r="F78" s="8" t="s">
        <v>572</v>
      </c>
      <c r="G78" s="8" t="s">
        <v>1200</v>
      </c>
      <c r="H78" s="8" t="s">
        <v>449</v>
      </c>
      <c r="I78" s="9" t="s">
        <v>1265</v>
      </c>
      <c r="J78" s="9"/>
      <c r="K78" s="9"/>
      <c r="L78" s="8"/>
    </row>
    <row r="79" customFormat="false" ht="15" hidden="false" customHeight="false" outlineLevel="0" collapsed="false">
      <c r="A79" s="8" t="s">
        <v>1409</v>
      </c>
      <c r="B79" s="8" t="s">
        <v>569</v>
      </c>
      <c r="C79" s="8" t="s">
        <v>570</v>
      </c>
      <c r="D79" s="8" t="s">
        <v>1410</v>
      </c>
      <c r="E79" s="8" t="s">
        <v>1323</v>
      </c>
      <c r="F79" s="8" t="s">
        <v>572</v>
      </c>
      <c r="G79" s="8" t="s">
        <v>1200</v>
      </c>
      <c r="H79" s="8" t="s">
        <v>449</v>
      </c>
      <c r="I79" s="9" t="s">
        <v>1265</v>
      </c>
      <c r="J79" s="9"/>
      <c r="K79" s="9"/>
      <c r="L79" s="8"/>
    </row>
    <row r="80" customFormat="false" ht="15" hidden="false" customHeight="false" outlineLevel="0" collapsed="false">
      <c r="A80" s="8" t="s">
        <v>1411</v>
      </c>
      <c r="B80" s="8" t="s">
        <v>569</v>
      </c>
      <c r="C80" s="8" t="s">
        <v>570</v>
      </c>
      <c r="D80" s="8" t="s">
        <v>1412</v>
      </c>
      <c r="E80" s="8" t="s">
        <v>1323</v>
      </c>
      <c r="F80" s="8" t="s">
        <v>572</v>
      </c>
      <c r="G80" s="8" t="s">
        <v>1200</v>
      </c>
      <c r="H80" s="8" t="s">
        <v>449</v>
      </c>
      <c r="I80" s="9" t="s">
        <v>1265</v>
      </c>
      <c r="J80" s="9"/>
      <c r="K80" s="9"/>
      <c r="L80" s="8"/>
    </row>
    <row r="81" customFormat="false" ht="15" hidden="false" customHeight="false" outlineLevel="0" collapsed="false">
      <c r="A81" s="8" t="s">
        <v>1413</v>
      </c>
      <c r="B81" s="8" t="s">
        <v>577</v>
      </c>
      <c r="C81" s="8" t="s">
        <v>578</v>
      </c>
      <c r="D81" s="8" t="s">
        <v>1414</v>
      </c>
      <c r="E81" s="8" t="s">
        <v>1323</v>
      </c>
      <c r="F81" s="8" t="s">
        <v>580</v>
      </c>
      <c r="G81" s="8" t="s">
        <v>1200</v>
      </c>
      <c r="H81" s="8" t="s">
        <v>449</v>
      </c>
      <c r="I81" s="9" t="s">
        <v>1265</v>
      </c>
      <c r="J81" s="9"/>
      <c r="K81" s="9"/>
      <c r="L81" s="8"/>
    </row>
    <row r="82" customFormat="false" ht="15" hidden="false" customHeight="false" outlineLevel="0" collapsed="false">
      <c r="A82" s="8" t="s">
        <v>1415</v>
      </c>
      <c r="B82" s="8" t="s">
        <v>577</v>
      </c>
      <c r="C82" s="8" t="s">
        <v>578</v>
      </c>
      <c r="D82" s="8" t="s">
        <v>1416</v>
      </c>
      <c r="E82" s="8" t="s">
        <v>1323</v>
      </c>
      <c r="F82" s="8" t="s">
        <v>580</v>
      </c>
      <c r="G82" s="8" t="s">
        <v>1200</v>
      </c>
      <c r="H82" s="8" t="s">
        <v>449</v>
      </c>
      <c r="I82" s="9" t="s">
        <v>1265</v>
      </c>
      <c r="J82" s="9"/>
      <c r="K82" s="9"/>
      <c r="L82" s="8"/>
    </row>
    <row r="83" customFormat="false" ht="15" hidden="false" customHeight="false" outlineLevel="0" collapsed="false">
      <c r="A83" s="8" t="s">
        <v>1417</v>
      </c>
      <c r="B83" s="8" t="s">
        <v>577</v>
      </c>
      <c r="C83" s="8" t="s">
        <v>578</v>
      </c>
      <c r="D83" s="8" t="s">
        <v>1418</v>
      </c>
      <c r="E83" s="8" t="s">
        <v>1323</v>
      </c>
      <c r="F83" s="8" t="s">
        <v>580</v>
      </c>
      <c r="G83" s="8" t="s">
        <v>1200</v>
      </c>
      <c r="H83" s="8" t="s">
        <v>449</v>
      </c>
      <c r="I83" s="9" t="s">
        <v>1265</v>
      </c>
      <c r="J83" s="9"/>
      <c r="K83" s="9"/>
      <c r="L83" s="8"/>
    </row>
    <row r="84" customFormat="false" ht="15" hidden="false" customHeight="false" outlineLevel="0" collapsed="false">
      <c r="A84" s="8" t="s">
        <v>1419</v>
      </c>
      <c r="B84" s="8" t="s">
        <v>585</v>
      </c>
      <c r="C84" s="8" t="s">
        <v>586</v>
      </c>
      <c r="D84" s="8" t="s">
        <v>1420</v>
      </c>
      <c r="E84" s="8" t="s">
        <v>1323</v>
      </c>
      <c r="F84" s="8" t="s">
        <v>588</v>
      </c>
      <c r="G84" s="8" t="s">
        <v>1264</v>
      </c>
      <c r="H84" s="8" t="s">
        <v>449</v>
      </c>
      <c r="I84" s="9" t="s">
        <v>1265</v>
      </c>
      <c r="J84" s="9"/>
      <c r="K84" s="9"/>
      <c r="L84" s="8"/>
    </row>
    <row r="85" customFormat="false" ht="15" hidden="false" customHeight="false" outlineLevel="0" collapsed="false">
      <c r="A85" s="8" t="s">
        <v>1421</v>
      </c>
      <c r="B85" s="8" t="s">
        <v>585</v>
      </c>
      <c r="C85" s="8" t="s">
        <v>586</v>
      </c>
      <c r="D85" s="8" t="s">
        <v>1422</v>
      </c>
      <c r="E85" s="8" t="s">
        <v>1323</v>
      </c>
      <c r="F85" s="8" t="s">
        <v>588</v>
      </c>
      <c r="G85" s="8" t="s">
        <v>1264</v>
      </c>
      <c r="H85" s="8" t="s">
        <v>449</v>
      </c>
      <c r="I85" s="9" t="s">
        <v>1265</v>
      </c>
      <c r="J85" s="9"/>
      <c r="K85" s="9"/>
      <c r="L85" s="8"/>
    </row>
    <row r="86" customFormat="false" ht="15" hidden="false" customHeight="false" outlineLevel="0" collapsed="false">
      <c r="A86" s="8" t="s">
        <v>1423</v>
      </c>
      <c r="B86" s="8" t="s">
        <v>585</v>
      </c>
      <c r="C86" s="8" t="s">
        <v>586</v>
      </c>
      <c r="D86" s="8" t="s">
        <v>1424</v>
      </c>
      <c r="E86" s="8" t="s">
        <v>1323</v>
      </c>
      <c r="F86" s="8" t="s">
        <v>588</v>
      </c>
      <c r="G86" s="8" t="s">
        <v>1264</v>
      </c>
      <c r="H86" s="8" t="s">
        <v>449</v>
      </c>
      <c r="I86" s="9" t="s">
        <v>1265</v>
      </c>
      <c r="J86" s="9"/>
      <c r="K86" s="9"/>
      <c r="L86" s="8"/>
    </row>
    <row r="87" customFormat="false" ht="15" hidden="false" customHeight="false" outlineLevel="0" collapsed="false">
      <c r="A87" s="8" t="s">
        <v>1425</v>
      </c>
      <c r="B87" s="8" t="s">
        <v>593</v>
      </c>
      <c r="C87" s="8" t="s">
        <v>594</v>
      </c>
      <c r="D87" s="8" t="s">
        <v>1426</v>
      </c>
      <c r="E87" s="8" t="s">
        <v>1323</v>
      </c>
      <c r="F87" s="8" t="s">
        <v>596</v>
      </c>
      <c r="G87" s="8" t="s">
        <v>1264</v>
      </c>
      <c r="H87" s="8" t="s">
        <v>449</v>
      </c>
      <c r="I87" s="9" t="s">
        <v>1265</v>
      </c>
      <c r="J87" s="9"/>
      <c r="K87" s="9"/>
      <c r="L87" s="8"/>
    </row>
    <row r="88" customFormat="false" ht="15" hidden="false" customHeight="false" outlineLevel="0" collapsed="false">
      <c r="A88" s="8" t="s">
        <v>1427</v>
      </c>
      <c r="B88" s="8" t="s">
        <v>593</v>
      </c>
      <c r="C88" s="8" t="s">
        <v>594</v>
      </c>
      <c r="D88" s="8" t="s">
        <v>1428</v>
      </c>
      <c r="E88" s="8" t="s">
        <v>1323</v>
      </c>
      <c r="F88" s="8" t="s">
        <v>596</v>
      </c>
      <c r="G88" s="8" t="s">
        <v>1264</v>
      </c>
      <c r="H88" s="8" t="s">
        <v>449</v>
      </c>
      <c r="I88" s="9" t="s">
        <v>1265</v>
      </c>
      <c r="J88" s="9"/>
      <c r="K88" s="9"/>
      <c r="L88" s="8"/>
    </row>
    <row r="89" customFormat="false" ht="23.85" hidden="false" customHeight="false" outlineLevel="0" collapsed="false">
      <c r="A89" s="8" t="s">
        <v>1429</v>
      </c>
      <c r="B89" s="8" t="s">
        <v>601</v>
      </c>
      <c r="C89" s="8" t="s">
        <v>602</v>
      </c>
      <c r="D89" s="8" t="s">
        <v>1430</v>
      </c>
      <c r="E89" s="8" t="s">
        <v>1323</v>
      </c>
      <c r="F89" s="8" t="s">
        <v>604</v>
      </c>
      <c r="G89" s="8" t="s">
        <v>1200</v>
      </c>
      <c r="H89" s="8" t="s">
        <v>449</v>
      </c>
      <c r="I89" s="9" t="s">
        <v>1265</v>
      </c>
      <c r="J89" s="9"/>
      <c r="K89" s="9"/>
      <c r="L89" s="8"/>
    </row>
    <row r="90" customFormat="false" ht="23.85" hidden="false" customHeight="false" outlineLevel="0" collapsed="false">
      <c r="A90" s="8" t="s">
        <v>1431</v>
      </c>
      <c r="B90" s="8" t="s">
        <v>601</v>
      </c>
      <c r="C90" s="8" t="s">
        <v>602</v>
      </c>
      <c r="D90" s="8" t="s">
        <v>1432</v>
      </c>
      <c r="E90" s="8" t="s">
        <v>1323</v>
      </c>
      <c r="F90" s="8" t="s">
        <v>604</v>
      </c>
      <c r="G90" s="8" t="s">
        <v>1200</v>
      </c>
      <c r="H90" s="8" t="s">
        <v>449</v>
      </c>
      <c r="I90" s="9" t="s">
        <v>1265</v>
      </c>
      <c r="J90" s="9"/>
      <c r="K90" s="9"/>
      <c r="L90" s="8"/>
    </row>
    <row r="91" customFormat="false" ht="15" hidden="false" customHeight="false" outlineLevel="0" collapsed="false">
      <c r="A91" s="8" t="s">
        <v>1433</v>
      </c>
      <c r="B91" s="8" t="s">
        <v>609</v>
      </c>
      <c r="C91" s="8" t="s">
        <v>610</v>
      </c>
      <c r="D91" s="8" t="s">
        <v>1434</v>
      </c>
      <c r="E91" s="8" t="s">
        <v>1323</v>
      </c>
      <c r="F91" s="8" t="s">
        <v>612</v>
      </c>
      <c r="G91" s="8" t="s">
        <v>1249</v>
      </c>
      <c r="H91" s="8" t="s">
        <v>449</v>
      </c>
      <c r="I91" s="9" t="s">
        <v>1265</v>
      </c>
      <c r="J91" s="9"/>
      <c r="K91" s="9"/>
      <c r="L91" s="8"/>
    </row>
    <row r="92" customFormat="false" ht="15" hidden="false" customHeight="false" outlineLevel="0" collapsed="false">
      <c r="A92" s="8" t="s">
        <v>1435</v>
      </c>
      <c r="B92" s="8" t="s">
        <v>609</v>
      </c>
      <c r="C92" s="8" t="s">
        <v>610</v>
      </c>
      <c r="D92" s="8" t="s">
        <v>1436</v>
      </c>
      <c r="E92" s="8" t="s">
        <v>1323</v>
      </c>
      <c r="F92" s="8" t="s">
        <v>612</v>
      </c>
      <c r="G92" s="8" t="s">
        <v>1249</v>
      </c>
      <c r="H92" s="8" t="s">
        <v>449</v>
      </c>
      <c r="I92" s="9" t="s">
        <v>1265</v>
      </c>
      <c r="J92" s="9"/>
      <c r="K92" s="9"/>
      <c r="L92" s="8"/>
    </row>
    <row r="93" customFormat="false" ht="15" hidden="false" customHeight="false" outlineLevel="0" collapsed="false">
      <c r="A93" s="8" t="s">
        <v>1437</v>
      </c>
      <c r="B93" s="8" t="s">
        <v>609</v>
      </c>
      <c r="C93" s="8" t="s">
        <v>610</v>
      </c>
      <c r="D93" s="8" t="s">
        <v>1438</v>
      </c>
      <c r="E93" s="8" t="s">
        <v>1323</v>
      </c>
      <c r="F93" s="8" t="s">
        <v>612</v>
      </c>
      <c r="G93" s="8" t="s">
        <v>1249</v>
      </c>
      <c r="H93" s="8" t="s">
        <v>449</v>
      </c>
      <c r="I93" s="9" t="s">
        <v>1265</v>
      </c>
      <c r="J93" s="9"/>
      <c r="K93" s="9"/>
      <c r="L93" s="8"/>
    </row>
    <row r="94" customFormat="false" ht="23.85" hidden="false" customHeight="false" outlineLevel="0" collapsed="false">
      <c r="A94" s="8" t="s">
        <v>1439</v>
      </c>
      <c r="B94" s="8" t="s">
        <v>617</v>
      </c>
      <c r="C94" s="8" t="s">
        <v>618</v>
      </c>
      <c r="D94" s="8" t="s">
        <v>1440</v>
      </c>
      <c r="E94" s="8" t="s">
        <v>1323</v>
      </c>
      <c r="F94" s="8" t="s">
        <v>620</v>
      </c>
      <c r="G94" s="8" t="s">
        <v>1222</v>
      </c>
      <c r="H94" s="8" t="s">
        <v>622</v>
      </c>
      <c r="I94" s="9" t="s">
        <v>1265</v>
      </c>
      <c r="J94" s="9"/>
      <c r="K94" s="9"/>
      <c r="L94" s="8"/>
    </row>
    <row r="95" customFormat="false" ht="23.85" hidden="false" customHeight="false" outlineLevel="0" collapsed="false">
      <c r="A95" s="8" t="s">
        <v>1441</v>
      </c>
      <c r="B95" s="8" t="s">
        <v>617</v>
      </c>
      <c r="C95" s="8" t="s">
        <v>618</v>
      </c>
      <c r="D95" s="8" t="s">
        <v>1442</v>
      </c>
      <c r="E95" s="8" t="s">
        <v>1323</v>
      </c>
      <c r="F95" s="8" t="s">
        <v>620</v>
      </c>
      <c r="G95" s="8" t="s">
        <v>1222</v>
      </c>
      <c r="H95" s="8" t="s">
        <v>622</v>
      </c>
      <c r="I95" s="9" t="s">
        <v>1265</v>
      </c>
      <c r="J95" s="9"/>
      <c r="K95" s="9"/>
      <c r="L95" s="8"/>
    </row>
    <row r="96" customFormat="false" ht="15" hidden="false" customHeight="false" outlineLevel="0" collapsed="false">
      <c r="A96" s="8" t="s">
        <v>1443</v>
      </c>
      <c r="B96" s="8" t="s">
        <v>164</v>
      </c>
      <c r="C96" s="8" t="s">
        <v>627</v>
      </c>
      <c r="D96" s="8" t="s">
        <v>1444</v>
      </c>
      <c r="E96" s="8" t="s">
        <v>1323</v>
      </c>
      <c r="F96" s="8" t="s">
        <v>629</v>
      </c>
      <c r="G96" s="8" t="s">
        <v>1212</v>
      </c>
      <c r="H96" s="8" t="s">
        <v>394</v>
      </c>
      <c r="I96" s="9" t="s">
        <v>1265</v>
      </c>
      <c r="J96" s="9"/>
      <c r="K96" s="9"/>
      <c r="L96" s="8"/>
    </row>
    <row r="97" customFormat="false" ht="15" hidden="false" customHeight="false" outlineLevel="0" collapsed="false">
      <c r="A97" s="8" t="s">
        <v>1445</v>
      </c>
      <c r="B97" s="8" t="s">
        <v>164</v>
      </c>
      <c r="C97" s="8" t="s">
        <v>627</v>
      </c>
      <c r="D97" s="8" t="s">
        <v>1446</v>
      </c>
      <c r="E97" s="8" t="s">
        <v>1323</v>
      </c>
      <c r="F97" s="8" t="s">
        <v>629</v>
      </c>
      <c r="G97" s="8" t="s">
        <v>1212</v>
      </c>
      <c r="H97" s="8" t="s">
        <v>394</v>
      </c>
      <c r="I97" s="9" t="s">
        <v>1265</v>
      </c>
      <c r="J97" s="9"/>
      <c r="K97" s="9"/>
      <c r="L97" s="8"/>
    </row>
    <row r="98" customFormat="false" ht="23.85" hidden="false" customHeight="false" outlineLevel="0" collapsed="false">
      <c r="A98" s="8" t="s">
        <v>1447</v>
      </c>
      <c r="B98" s="8" t="s">
        <v>634</v>
      </c>
      <c r="C98" s="8" t="s">
        <v>635</v>
      </c>
      <c r="D98" s="8" t="s">
        <v>1448</v>
      </c>
      <c r="E98" s="8" t="s">
        <v>1297</v>
      </c>
      <c r="F98" s="8" t="s">
        <v>637</v>
      </c>
      <c r="G98" s="8" t="s">
        <v>1264</v>
      </c>
      <c r="H98" s="8" t="s">
        <v>622</v>
      </c>
      <c r="I98" s="9" t="s">
        <v>1265</v>
      </c>
      <c r="J98" s="9"/>
      <c r="K98" s="9"/>
      <c r="L98" s="8"/>
    </row>
    <row r="99" customFormat="false" ht="23.85" hidden="false" customHeight="false" outlineLevel="0" collapsed="false">
      <c r="A99" s="8" t="s">
        <v>1449</v>
      </c>
      <c r="B99" s="8" t="s">
        <v>634</v>
      </c>
      <c r="C99" s="8" t="s">
        <v>635</v>
      </c>
      <c r="D99" s="8" t="s">
        <v>1450</v>
      </c>
      <c r="E99" s="8" t="s">
        <v>1297</v>
      </c>
      <c r="F99" s="8" t="s">
        <v>637</v>
      </c>
      <c r="G99" s="8" t="s">
        <v>1264</v>
      </c>
      <c r="H99" s="8" t="s">
        <v>622</v>
      </c>
      <c r="I99" s="9" t="s">
        <v>1265</v>
      </c>
      <c r="J99" s="9"/>
      <c r="K99" s="9"/>
      <c r="L99" s="8"/>
    </row>
    <row r="100" customFormat="false" ht="23.85" hidden="false" customHeight="false" outlineLevel="0" collapsed="false">
      <c r="A100" s="8" t="s">
        <v>1451</v>
      </c>
      <c r="B100" s="8" t="s">
        <v>634</v>
      </c>
      <c r="C100" s="8" t="s">
        <v>635</v>
      </c>
      <c r="D100" s="8" t="s">
        <v>1452</v>
      </c>
      <c r="E100" s="8" t="s">
        <v>1297</v>
      </c>
      <c r="F100" s="8" t="s">
        <v>637</v>
      </c>
      <c r="G100" s="8" t="s">
        <v>1264</v>
      </c>
      <c r="H100" s="8" t="s">
        <v>622</v>
      </c>
      <c r="I100" s="9" t="s">
        <v>1265</v>
      </c>
      <c r="J100" s="9"/>
      <c r="K100" s="9"/>
      <c r="L100" s="8"/>
    </row>
    <row r="101" customFormat="false" ht="23.85" hidden="false" customHeight="false" outlineLevel="0" collapsed="false">
      <c r="A101" s="8" t="s">
        <v>1453</v>
      </c>
      <c r="B101" s="8" t="s">
        <v>642</v>
      </c>
      <c r="C101" s="8" t="s">
        <v>643</v>
      </c>
      <c r="D101" s="8" t="s">
        <v>1454</v>
      </c>
      <c r="E101" s="8" t="s">
        <v>1263</v>
      </c>
      <c r="F101" s="8" t="s">
        <v>645</v>
      </c>
      <c r="G101" s="8" t="s">
        <v>1264</v>
      </c>
      <c r="H101" s="8" t="s">
        <v>272</v>
      </c>
      <c r="I101" s="9" t="s">
        <v>1265</v>
      </c>
      <c r="J101" s="9"/>
      <c r="K101" s="9"/>
      <c r="L101" s="8"/>
    </row>
    <row r="102" customFormat="false" ht="23.85" hidden="false" customHeight="false" outlineLevel="0" collapsed="false">
      <c r="A102" s="8" t="s">
        <v>1455</v>
      </c>
      <c r="B102" s="8" t="s">
        <v>642</v>
      </c>
      <c r="C102" s="8" t="s">
        <v>643</v>
      </c>
      <c r="D102" s="8" t="s">
        <v>1456</v>
      </c>
      <c r="E102" s="8" t="s">
        <v>1263</v>
      </c>
      <c r="F102" s="8" t="s">
        <v>645</v>
      </c>
      <c r="G102" s="8" t="s">
        <v>1264</v>
      </c>
      <c r="H102" s="8" t="s">
        <v>272</v>
      </c>
      <c r="I102" s="9" t="s">
        <v>1265</v>
      </c>
      <c r="J102" s="9"/>
      <c r="K102" s="9"/>
      <c r="L102" s="8"/>
    </row>
    <row r="103" customFormat="false" ht="23.85" hidden="false" customHeight="false" outlineLevel="0" collapsed="false">
      <c r="A103" s="8" t="s">
        <v>1457</v>
      </c>
      <c r="B103" s="8" t="s">
        <v>649</v>
      </c>
      <c r="C103" s="8" t="s">
        <v>650</v>
      </c>
      <c r="D103" s="8" t="s">
        <v>1458</v>
      </c>
      <c r="E103" s="8" t="s">
        <v>1323</v>
      </c>
      <c r="F103" s="8" t="s">
        <v>652</v>
      </c>
      <c r="G103" s="8" t="s">
        <v>1200</v>
      </c>
      <c r="H103" s="8" t="s">
        <v>232</v>
      </c>
      <c r="I103" s="9" t="s">
        <v>1265</v>
      </c>
      <c r="J103" s="9"/>
      <c r="K103" s="9"/>
      <c r="L103" s="8"/>
    </row>
    <row r="104" customFormat="false" ht="23.85" hidden="false" customHeight="false" outlineLevel="0" collapsed="false">
      <c r="A104" s="8" t="s">
        <v>1459</v>
      </c>
      <c r="B104" s="8" t="s">
        <v>649</v>
      </c>
      <c r="C104" s="8" t="s">
        <v>650</v>
      </c>
      <c r="D104" s="8" t="s">
        <v>1460</v>
      </c>
      <c r="E104" s="8" t="s">
        <v>1323</v>
      </c>
      <c r="F104" s="8" t="s">
        <v>652</v>
      </c>
      <c r="G104" s="8" t="s">
        <v>1200</v>
      </c>
      <c r="H104" s="8" t="s">
        <v>232</v>
      </c>
      <c r="I104" s="9" t="s">
        <v>1265</v>
      </c>
      <c r="J104" s="9"/>
      <c r="K104" s="9"/>
      <c r="L104" s="8"/>
    </row>
    <row r="105" customFormat="false" ht="23.85" hidden="false" customHeight="false" outlineLevel="0" collapsed="false">
      <c r="A105" s="8" t="s">
        <v>1461</v>
      </c>
      <c r="B105" s="8" t="s">
        <v>649</v>
      </c>
      <c r="C105" s="8" t="s">
        <v>650</v>
      </c>
      <c r="D105" s="8" t="s">
        <v>1462</v>
      </c>
      <c r="E105" s="8" t="s">
        <v>1323</v>
      </c>
      <c r="F105" s="8" t="s">
        <v>652</v>
      </c>
      <c r="G105" s="8" t="s">
        <v>1200</v>
      </c>
      <c r="H105" s="8" t="s">
        <v>232</v>
      </c>
      <c r="I105" s="9" t="s">
        <v>1265</v>
      </c>
      <c r="J105" s="9"/>
      <c r="K105" s="9"/>
      <c r="L105" s="8"/>
    </row>
    <row r="106" customFormat="false" ht="15" hidden="false" customHeight="false" outlineLevel="0" collapsed="false">
      <c r="A106" s="8" t="s">
        <v>1463</v>
      </c>
      <c r="B106" s="8" t="s">
        <v>657</v>
      </c>
      <c r="C106" s="8" t="s">
        <v>658</v>
      </c>
      <c r="D106" s="8" t="s">
        <v>1464</v>
      </c>
      <c r="E106" s="8" t="s">
        <v>1323</v>
      </c>
      <c r="F106" s="8" t="s">
        <v>660</v>
      </c>
      <c r="G106" s="8" t="s">
        <v>1369</v>
      </c>
      <c r="H106" s="8" t="s">
        <v>497</v>
      </c>
      <c r="I106" s="9" t="s">
        <v>1265</v>
      </c>
      <c r="J106" s="9"/>
      <c r="K106" s="9"/>
      <c r="L106" s="8"/>
    </row>
    <row r="107" customFormat="false" ht="15" hidden="false" customHeight="false" outlineLevel="0" collapsed="false">
      <c r="A107" s="8" t="s">
        <v>1465</v>
      </c>
      <c r="B107" s="8" t="s">
        <v>657</v>
      </c>
      <c r="C107" s="8" t="s">
        <v>658</v>
      </c>
      <c r="D107" s="8" t="s">
        <v>1466</v>
      </c>
      <c r="E107" s="8" t="s">
        <v>1323</v>
      </c>
      <c r="F107" s="8" t="s">
        <v>660</v>
      </c>
      <c r="G107" s="8" t="s">
        <v>1369</v>
      </c>
      <c r="H107" s="8" t="s">
        <v>497</v>
      </c>
      <c r="I107" s="9" t="s">
        <v>1265</v>
      </c>
      <c r="J107" s="9"/>
      <c r="K107" s="9"/>
      <c r="L107" s="8"/>
    </row>
    <row r="108" customFormat="false" ht="15" hidden="false" customHeight="false" outlineLevel="0" collapsed="false">
      <c r="A108" s="8" t="s">
        <v>1467</v>
      </c>
      <c r="B108" s="8" t="s">
        <v>657</v>
      </c>
      <c r="C108" s="8" t="s">
        <v>658</v>
      </c>
      <c r="D108" s="8" t="s">
        <v>1418</v>
      </c>
      <c r="E108" s="8" t="s">
        <v>1323</v>
      </c>
      <c r="F108" s="8" t="s">
        <v>660</v>
      </c>
      <c r="G108" s="8" t="s">
        <v>1369</v>
      </c>
      <c r="H108" s="8" t="s">
        <v>497</v>
      </c>
      <c r="I108" s="9" t="s">
        <v>1265</v>
      </c>
      <c r="J108" s="9"/>
      <c r="K108" s="9"/>
      <c r="L108" s="8"/>
    </row>
    <row r="109" customFormat="false" ht="23.85" hidden="false" customHeight="false" outlineLevel="0" collapsed="false">
      <c r="A109" s="8" t="s">
        <v>1468</v>
      </c>
      <c r="B109" s="8" t="s">
        <v>151</v>
      </c>
      <c r="C109" s="8" t="s">
        <v>668</v>
      </c>
      <c r="D109" s="8" t="s">
        <v>1469</v>
      </c>
      <c r="E109" s="8" t="s">
        <v>1263</v>
      </c>
      <c r="F109" s="8" t="s">
        <v>670</v>
      </c>
      <c r="G109" s="8" t="s">
        <v>1264</v>
      </c>
      <c r="H109" s="8" t="s">
        <v>497</v>
      </c>
      <c r="I109" s="9" t="s">
        <v>1265</v>
      </c>
      <c r="J109" s="9"/>
      <c r="K109" s="9"/>
      <c r="L109" s="8"/>
    </row>
    <row r="110" customFormat="false" ht="23.85" hidden="false" customHeight="false" outlineLevel="0" collapsed="false">
      <c r="A110" s="8" t="s">
        <v>1470</v>
      </c>
      <c r="B110" s="8" t="s">
        <v>151</v>
      </c>
      <c r="C110" s="8" t="s">
        <v>668</v>
      </c>
      <c r="D110" s="8" t="s">
        <v>1471</v>
      </c>
      <c r="E110" s="8" t="s">
        <v>1263</v>
      </c>
      <c r="F110" s="8" t="s">
        <v>670</v>
      </c>
      <c r="G110" s="8" t="s">
        <v>1264</v>
      </c>
      <c r="H110" s="8" t="s">
        <v>497</v>
      </c>
      <c r="I110" s="9" t="s">
        <v>1265</v>
      </c>
      <c r="J110" s="9"/>
      <c r="K110" s="9"/>
      <c r="L110" s="8"/>
    </row>
    <row r="111" customFormat="false" ht="15" hidden="false" customHeight="false" outlineLevel="0" collapsed="false">
      <c r="A111" s="8" t="s">
        <v>1472</v>
      </c>
      <c r="B111" s="8" t="s">
        <v>673</v>
      </c>
      <c r="C111" s="8" t="s">
        <v>674</v>
      </c>
      <c r="D111" s="8" t="s">
        <v>1473</v>
      </c>
      <c r="E111" s="8" t="s">
        <v>1323</v>
      </c>
      <c r="F111" s="8" t="s">
        <v>676</v>
      </c>
      <c r="G111" s="8" t="s">
        <v>1264</v>
      </c>
      <c r="H111" s="8" t="s">
        <v>449</v>
      </c>
      <c r="I111" s="9" t="s">
        <v>1265</v>
      </c>
      <c r="J111" s="9"/>
      <c r="K111" s="9"/>
      <c r="L111" s="8"/>
    </row>
    <row r="112" customFormat="false" ht="15" hidden="false" customHeight="false" outlineLevel="0" collapsed="false">
      <c r="A112" s="8" t="s">
        <v>1474</v>
      </c>
      <c r="B112" s="8" t="s">
        <v>673</v>
      </c>
      <c r="C112" s="8" t="s">
        <v>674</v>
      </c>
      <c r="D112" s="8" t="s">
        <v>1475</v>
      </c>
      <c r="E112" s="8" t="s">
        <v>1323</v>
      </c>
      <c r="F112" s="8" t="s">
        <v>676</v>
      </c>
      <c r="G112" s="8" t="s">
        <v>1264</v>
      </c>
      <c r="H112" s="8" t="s">
        <v>449</v>
      </c>
      <c r="I112" s="9" t="s">
        <v>1265</v>
      </c>
      <c r="J112" s="9"/>
      <c r="K112" s="9"/>
      <c r="L112" s="8"/>
    </row>
    <row r="113" customFormat="false" ht="23.85" hidden="false" customHeight="false" outlineLevel="0" collapsed="false">
      <c r="A113" s="8" t="s">
        <v>1476</v>
      </c>
      <c r="B113" s="8" t="s">
        <v>682</v>
      </c>
      <c r="C113" s="8" t="s">
        <v>683</v>
      </c>
      <c r="D113" s="8" t="s">
        <v>1477</v>
      </c>
      <c r="E113" s="8" t="s">
        <v>1323</v>
      </c>
      <c r="F113" s="8" t="s">
        <v>685</v>
      </c>
      <c r="G113" s="8" t="s">
        <v>1478</v>
      </c>
      <c r="H113" s="8" t="s">
        <v>686</v>
      </c>
      <c r="I113" s="9" t="s">
        <v>1265</v>
      </c>
      <c r="J113" s="9"/>
      <c r="K113" s="9"/>
      <c r="L113" s="8"/>
    </row>
    <row r="114" customFormat="false" ht="23.85" hidden="false" customHeight="false" outlineLevel="0" collapsed="false">
      <c r="A114" s="8" t="s">
        <v>1479</v>
      </c>
      <c r="B114" s="8" t="s">
        <v>682</v>
      </c>
      <c r="C114" s="8" t="s">
        <v>683</v>
      </c>
      <c r="D114" s="8" t="s">
        <v>1480</v>
      </c>
      <c r="E114" s="8" t="s">
        <v>1323</v>
      </c>
      <c r="F114" s="8" t="s">
        <v>685</v>
      </c>
      <c r="G114" s="8" t="s">
        <v>1478</v>
      </c>
      <c r="H114" s="8" t="s">
        <v>686</v>
      </c>
      <c r="I114" s="9" t="s">
        <v>1265</v>
      </c>
      <c r="J114" s="9"/>
      <c r="K114" s="9"/>
      <c r="L114" s="8"/>
    </row>
    <row r="115" customFormat="false" ht="15" hidden="false" customHeight="false" outlineLevel="0" collapsed="false">
      <c r="A115" s="8" t="s">
        <v>1481</v>
      </c>
      <c r="B115" s="8" t="s">
        <v>692</v>
      </c>
      <c r="C115" s="8" t="s">
        <v>693</v>
      </c>
      <c r="D115" s="8" t="s">
        <v>697</v>
      </c>
      <c r="E115" s="8" t="s">
        <v>1323</v>
      </c>
      <c r="F115" s="8" t="s">
        <v>695</v>
      </c>
      <c r="G115" s="8" t="s">
        <v>1209</v>
      </c>
      <c r="H115" s="8" t="s">
        <v>686</v>
      </c>
      <c r="I115" s="9" t="s">
        <v>1265</v>
      </c>
      <c r="J115" s="9"/>
      <c r="K115" s="9"/>
      <c r="L115" s="8"/>
    </row>
    <row r="116" customFormat="false" ht="15" hidden="false" customHeight="false" outlineLevel="0" collapsed="false">
      <c r="A116" s="8" t="s">
        <v>1482</v>
      </c>
      <c r="B116" s="8" t="s">
        <v>700</v>
      </c>
      <c r="C116" s="8" t="s">
        <v>701</v>
      </c>
      <c r="D116" s="8" t="s">
        <v>1483</v>
      </c>
      <c r="E116" s="8" t="s">
        <v>1323</v>
      </c>
      <c r="F116" s="8" t="s">
        <v>703</v>
      </c>
      <c r="G116" s="8" t="s">
        <v>1264</v>
      </c>
      <c r="H116" s="8" t="s">
        <v>686</v>
      </c>
      <c r="I116" s="9" t="s">
        <v>1265</v>
      </c>
      <c r="J116" s="9"/>
      <c r="K116" s="9"/>
      <c r="L116" s="8"/>
    </row>
    <row r="117" customFormat="false" ht="15" hidden="false" customHeight="false" outlineLevel="0" collapsed="false">
      <c r="A117" s="8" t="s">
        <v>1484</v>
      </c>
      <c r="B117" s="8" t="s">
        <v>700</v>
      </c>
      <c r="C117" s="8" t="s">
        <v>701</v>
      </c>
      <c r="D117" s="8" t="s">
        <v>1485</v>
      </c>
      <c r="E117" s="8" t="s">
        <v>1323</v>
      </c>
      <c r="F117" s="8" t="s">
        <v>703</v>
      </c>
      <c r="G117" s="8" t="s">
        <v>1264</v>
      </c>
      <c r="H117" s="8" t="s">
        <v>686</v>
      </c>
      <c r="I117" s="9" t="s">
        <v>1265</v>
      </c>
      <c r="J117" s="9"/>
      <c r="K117" s="9"/>
      <c r="L117" s="8"/>
    </row>
    <row r="118" customFormat="false" ht="23.85" hidden="false" customHeight="false" outlineLevel="0" collapsed="false">
      <c r="A118" s="8" t="s">
        <v>1486</v>
      </c>
      <c r="B118" s="8" t="s">
        <v>709</v>
      </c>
      <c r="C118" s="8" t="s">
        <v>710</v>
      </c>
      <c r="D118" s="8" t="s">
        <v>1487</v>
      </c>
      <c r="E118" s="8" t="s">
        <v>1323</v>
      </c>
      <c r="F118" s="8" t="s">
        <v>712</v>
      </c>
      <c r="G118" s="8" t="s">
        <v>1264</v>
      </c>
      <c r="H118" s="8" t="s">
        <v>713</v>
      </c>
      <c r="I118" s="9" t="s">
        <v>1265</v>
      </c>
      <c r="J118" s="9"/>
      <c r="K118" s="9"/>
      <c r="L118" s="8"/>
    </row>
    <row r="119" customFormat="false" ht="23.85" hidden="false" customHeight="false" outlineLevel="0" collapsed="false">
      <c r="A119" s="8" t="s">
        <v>1488</v>
      </c>
      <c r="B119" s="8" t="s">
        <v>709</v>
      </c>
      <c r="C119" s="8" t="s">
        <v>710</v>
      </c>
      <c r="D119" s="8" t="s">
        <v>1489</v>
      </c>
      <c r="E119" s="8" t="s">
        <v>1323</v>
      </c>
      <c r="F119" s="8" t="s">
        <v>712</v>
      </c>
      <c r="G119" s="8" t="s">
        <v>1264</v>
      </c>
      <c r="H119" s="8" t="s">
        <v>713</v>
      </c>
      <c r="I119" s="9" t="s">
        <v>1265</v>
      </c>
      <c r="J119" s="9"/>
      <c r="K119" s="9"/>
      <c r="L119" s="8"/>
    </row>
    <row r="120" customFormat="false" ht="23.85" hidden="false" customHeight="false" outlineLevel="0" collapsed="false">
      <c r="A120" s="8" t="s">
        <v>1490</v>
      </c>
      <c r="B120" s="8" t="s">
        <v>709</v>
      </c>
      <c r="C120" s="8" t="s">
        <v>710</v>
      </c>
      <c r="D120" s="8" t="s">
        <v>1491</v>
      </c>
      <c r="E120" s="8" t="s">
        <v>1323</v>
      </c>
      <c r="F120" s="8" t="s">
        <v>712</v>
      </c>
      <c r="G120" s="8" t="s">
        <v>1264</v>
      </c>
      <c r="H120" s="8" t="s">
        <v>713</v>
      </c>
      <c r="I120" s="9" t="s">
        <v>1265</v>
      </c>
      <c r="J120" s="9"/>
      <c r="K120" s="9"/>
      <c r="L120" s="8"/>
    </row>
    <row r="121" customFormat="false" ht="15" hidden="false" customHeight="false" outlineLevel="0" collapsed="false">
      <c r="A121" s="8" t="s">
        <v>1492</v>
      </c>
      <c r="B121" s="8" t="s">
        <v>718</v>
      </c>
      <c r="C121" s="8" t="s">
        <v>719</v>
      </c>
      <c r="D121" s="8" t="s">
        <v>1493</v>
      </c>
      <c r="E121" s="8" t="s">
        <v>1297</v>
      </c>
      <c r="F121" s="8" t="s">
        <v>721</v>
      </c>
      <c r="G121" s="8" t="s">
        <v>1264</v>
      </c>
      <c r="H121" s="8" t="s">
        <v>686</v>
      </c>
      <c r="I121" s="9" t="s">
        <v>1265</v>
      </c>
      <c r="J121" s="9"/>
      <c r="K121" s="9"/>
      <c r="L121" s="8"/>
    </row>
    <row r="122" customFormat="false" ht="15" hidden="false" customHeight="false" outlineLevel="0" collapsed="false">
      <c r="A122" s="8" t="s">
        <v>1494</v>
      </c>
      <c r="B122" s="8" t="s">
        <v>718</v>
      </c>
      <c r="C122" s="8" t="s">
        <v>719</v>
      </c>
      <c r="D122" s="8" t="s">
        <v>1495</v>
      </c>
      <c r="E122" s="8" t="s">
        <v>1297</v>
      </c>
      <c r="F122" s="8" t="s">
        <v>721</v>
      </c>
      <c r="G122" s="8" t="s">
        <v>1264</v>
      </c>
      <c r="H122" s="8" t="s">
        <v>686</v>
      </c>
      <c r="I122" s="9" t="s">
        <v>1265</v>
      </c>
      <c r="J122" s="9"/>
      <c r="K122" s="9"/>
      <c r="L122" s="8"/>
    </row>
    <row r="123" customFormat="false" ht="23.85" hidden="false" customHeight="false" outlineLevel="0" collapsed="false">
      <c r="A123" s="8" t="s">
        <v>1496</v>
      </c>
      <c r="B123" s="8" t="s">
        <v>727</v>
      </c>
      <c r="C123" s="8" t="s">
        <v>728</v>
      </c>
      <c r="D123" s="8" t="s">
        <v>1497</v>
      </c>
      <c r="E123" s="8" t="s">
        <v>1323</v>
      </c>
      <c r="F123" s="8" t="s">
        <v>730</v>
      </c>
      <c r="G123" s="8" t="s">
        <v>1264</v>
      </c>
      <c r="H123" s="8" t="s">
        <v>272</v>
      </c>
      <c r="I123" s="9" t="s">
        <v>1265</v>
      </c>
      <c r="J123" s="9"/>
      <c r="K123" s="9"/>
      <c r="L123" s="8"/>
    </row>
    <row r="124" customFormat="false" ht="23.85" hidden="false" customHeight="false" outlineLevel="0" collapsed="false">
      <c r="A124" s="8" t="s">
        <v>1498</v>
      </c>
      <c r="B124" s="8" t="s">
        <v>727</v>
      </c>
      <c r="C124" s="8" t="s">
        <v>728</v>
      </c>
      <c r="D124" s="8" t="s">
        <v>1499</v>
      </c>
      <c r="E124" s="8" t="s">
        <v>1323</v>
      </c>
      <c r="F124" s="8" t="s">
        <v>730</v>
      </c>
      <c r="G124" s="8" t="s">
        <v>1264</v>
      </c>
      <c r="H124" s="8" t="s">
        <v>272</v>
      </c>
      <c r="I124" s="9" t="s">
        <v>1265</v>
      </c>
      <c r="J124" s="9"/>
      <c r="K124" s="9"/>
      <c r="L124" s="8"/>
    </row>
    <row r="125" customFormat="false" ht="23.85" hidden="false" customHeight="false" outlineLevel="0" collapsed="false">
      <c r="A125" s="8" t="s">
        <v>1500</v>
      </c>
      <c r="B125" s="8" t="s">
        <v>736</v>
      </c>
      <c r="C125" s="8" t="s">
        <v>737</v>
      </c>
      <c r="D125" s="8" t="s">
        <v>740</v>
      </c>
      <c r="E125" s="8" t="s">
        <v>1263</v>
      </c>
      <c r="F125" s="8" t="s">
        <v>172</v>
      </c>
      <c r="G125" s="8" t="s">
        <v>1264</v>
      </c>
      <c r="H125" s="8" t="s">
        <v>232</v>
      </c>
      <c r="I125" s="9" t="s">
        <v>1265</v>
      </c>
      <c r="J125" s="9"/>
      <c r="K125" s="9"/>
      <c r="L125" s="8"/>
    </row>
    <row r="126" customFormat="false" ht="15" hidden="false" customHeight="false" outlineLevel="0" collapsed="false">
      <c r="A126" s="8" t="s">
        <v>1501</v>
      </c>
      <c r="B126" s="8" t="s">
        <v>742</v>
      </c>
      <c r="C126" s="8" t="s">
        <v>743</v>
      </c>
      <c r="D126" s="8" t="s">
        <v>747</v>
      </c>
      <c r="E126" s="8" t="s">
        <v>1297</v>
      </c>
      <c r="F126" s="8" t="s">
        <v>745</v>
      </c>
      <c r="G126" s="8" t="s">
        <v>1264</v>
      </c>
      <c r="H126" s="8" t="s">
        <v>232</v>
      </c>
      <c r="I126" s="9" t="s">
        <v>1265</v>
      </c>
      <c r="J126" s="9"/>
      <c r="K126" s="9"/>
      <c r="L126" s="8"/>
    </row>
    <row r="127" customFormat="false" ht="15" hidden="false" customHeight="false" outlineLevel="0" collapsed="false">
      <c r="A127" s="8" t="s">
        <v>1502</v>
      </c>
      <c r="B127" s="8" t="s">
        <v>751</v>
      </c>
      <c r="C127" s="8" t="s">
        <v>752</v>
      </c>
      <c r="D127" s="8" t="s">
        <v>1503</v>
      </c>
      <c r="E127" s="8" t="s">
        <v>1297</v>
      </c>
      <c r="F127" s="8" t="s">
        <v>91</v>
      </c>
      <c r="G127" s="8" t="s">
        <v>1264</v>
      </c>
      <c r="H127" s="8" t="s">
        <v>232</v>
      </c>
      <c r="I127" s="9" t="s">
        <v>1265</v>
      </c>
      <c r="J127" s="9"/>
      <c r="K127" s="9"/>
      <c r="L127" s="8"/>
    </row>
    <row r="128" customFormat="false" ht="15" hidden="false" customHeight="false" outlineLevel="0" collapsed="false">
      <c r="A128" s="8" t="s">
        <v>1504</v>
      </c>
      <c r="B128" s="8" t="s">
        <v>751</v>
      </c>
      <c r="C128" s="8" t="s">
        <v>752</v>
      </c>
      <c r="D128" s="8" t="s">
        <v>1505</v>
      </c>
      <c r="E128" s="8" t="s">
        <v>1297</v>
      </c>
      <c r="F128" s="8" t="s">
        <v>91</v>
      </c>
      <c r="G128" s="8" t="s">
        <v>1264</v>
      </c>
      <c r="H128" s="8" t="s">
        <v>232</v>
      </c>
      <c r="I128" s="9" t="s">
        <v>1265</v>
      </c>
      <c r="J128" s="9"/>
      <c r="K128" s="9"/>
      <c r="L128" s="8"/>
    </row>
    <row r="129" customFormat="false" ht="23.85" hidden="false" customHeight="false" outlineLevel="0" collapsed="false">
      <c r="A129" s="8" t="s">
        <v>1506</v>
      </c>
      <c r="B129" s="8" t="s">
        <v>758</v>
      </c>
      <c r="C129" s="8" t="s">
        <v>759</v>
      </c>
      <c r="D129" s="8" t="s">
        <v>762</v>
      </c>
      <c r="E129" s="8" t="s">
        <v>1263</v>
      </c>
      <c r="F129" s="8" t="s">
        <v>172</v>
      </c>
      <c r="G129" s="8" t="s">
        <v>1264</v>
      </c>
      <c r="H129" s="8" t="s">
        <v>232</v>
      </c>
      <c r="I129" s="9" t="s">
        <v>1265</v>
      </c>
      <c r="J129" s="9"/>
      <c r="K129" s="9"/>
      <c r="L129" s="8"/>
    </row>
    <row r="130" customFormat="false" ht="15" hidden="false" customHeight="false" outlineLevel="0" collapsed="false">
      <c r="A130" s="8" t="s">
        <v>1507</v>
      </c>
      <c r="B130" s="8" t="s">
        <v>764</v>
      </c>
      <c r="C130" s="8" t="s">
        <v>765</v>
      </c>
      <c r="D130" s="8" t="s">
        <v>1508</v>
      </c>
      <c r="E130" s="8" t="s">
        <v>1323</v>
      </c>
      <c r="F130" s="8" t="s">
        <v>767</v>
      </c>
      <c r="G130" s="8" t="s">
        <v>1215</v>
      </c>
      <c r="H130" s="8" t="s">
        <v>713</v>
      </c>
      <c r="I130" s="9" t="s">
        <v>1265</v>
      </c>
      <c r="J130" s="9"/>
      <c r="K130" s="9"/>
      <c r="L130" s="8"/>
    </row>
    <row r="131" customFormat="false" ht="15" hidden="false" customHeight="false" outlineLevel="0" collapsed="false">
      <c r="A131" s="8" t="s">
        <v>1509</v>
      </c>
      <c r="B131" s="8" t="s">
        <v>764</v>
      </c>
      <c r="C131" s="8" t="s">
        <v>765</v>
      </c>
      <c r="D131" s="8" t="s">
        <v>1510</v>
      </c>
      <c r="E131" s="8" t="s">
        <v>1323</v>
      </c>
      <c r="F131" s="8" t="s">
        <v>767</v>
      </c>
      <c r="G131" s="8" t="s">
        <v>1215</v>
      </c>
      <c r="H131" s="8" t="s">
        <v>713</v>
      </c>
      <c r="I131" s="9" t="s">
        <v>1265</v>
      </c>
      <c r="J131" s="9"/>
      <c r="K131" s="9"/>
      <c r="L131" s="8"/>
    </row>
    <row r="132" customFormat="false" ht="23.85" hidden="false" customHeight="false" outlineLevel="0" collapsed="false">
      <c r="A132" s="8" t="s">
        <v>1511</v>
      </c>
      <c r="B132" s="8" t="s">
        <v>772</v>
      </c>
      <c r="C132" s="8" t="s">
        <v>773</v>
      </c>
      <c r="D132" s="8" t="s">
        <v>776</v>
      </c>
      <c r="E132" s="8" t="s">
        <v>1263</v>
      </c>
      <c r="F132" s="8" t="s">
        <v>775</v>
      </c>
      <c r="G132" s="8" t="s">
        <v>1264</v>
      </c>
      <c r="H132" s="8" t="s">
        <v>713</v>
      </c>
      <c r="I132" s="9" t="s">
        <v>1265</v>
      </c>
      <c r="J132" s="9"/>
      <c r="K132" s="9"/>
      <c r="L132" s="8"/>
    </row>
    <row r="133" customFormat="false" ht="23.85" hidden="false" customHeight="false" outlineLevel="0" collapsed="false">
      <c r="A133" s="8" t="s">
        <v>1512</v>
      </c>
      <c r="B133" s="8" t="s">
        <v>778</v>
      </c>
      <c r="C133" s="8" t="s">
        <v>779</v>
      </c>
      <c r="D133" s="8" t="s">
        <v>1513</v>
      </c>
      <c r="E133" s="8" t="s">
        <v>1263</v>
      </c>
      <c r="F133" s="8" t="s">
        <v>172</v>
      </c>
      <c r="G133" s="8" t="s">
        <v>1264</v>
      </c>
      <c r="H133" s="8" t="s">
        <v>713</v>
      </c>
      <c r="I133" s="9" t="s">
        <v>1265</v>
      </c>
      <c r="J133" s="9"/>
      <c r="K133" s="9"/>
      <c r="L133" s="8"/>
    </row>
    <row r="134" customFormat="false" ht="23.85" hidden="false" customHeight="false" outlineLevel="0" collapsed="false">
      <c r="A134" s="8" t="s">
        <v>1514</v>
      </c>
      <c r="B134" s="8" t="s">
        <v>778</v>
      </c>
      <c r="C134" s="8" t="s">
        <v>779</v>
      </c>
      <c r="D134" s="8" t="s">
        <v>1515</v>
      </c>
      <c r="E134" s="8" t="s">
        <v>1263</v>
      </c>
      <c r="F134" s="8" t="s">
        <v>172</v>
      </c>
      <c r="G134" s="8" t="s">
        <v>1264</v>
      </c>
      <c r="H134" s="8" t="s">
        <v>713</v>
      </c>
      <c r="I134" s="9" t="s">
        <v>1265</v>
      </c>
      <c r="J134" s="9"/>
      <c r="K134" s="9"/>
      <c r="L134" s="8"/>
    </row>
    <row r="135" customFormat="false" ht="15" hidden="false" customHeight="false" outlineLevel="0" collapsed="false">
      <c r="A135" s="8" t="s">
        <v>1516</v>
      </c>
      <c r="B135" s="8" t="s">
        <v>783</v>
      </c>
      <c r="C135" s="8" t="s">
        <v>784</v>
      </c>
      <c r="D135" s="8" t="s">
        <v>1517</v>
      </c>
      <c r="E135" s="8" t="s">
        <v>1323</v>
      </c>
      <c r="F135" s="8" t="s">
        <v>531</v>
      </c>
      <c r="G135" s="8" t="s">
        <v>1264</v>
      </c>
      <c r="H135" s="8" t="s">
        <v>449</v>
      </c>
      <c r="I135" s="9" t="s">
        <v>1265</v>
      </c>
      <c r="J135" s="9"/>
      <c r="K135" s="9"/>
      <c r="L135" s="8"/>
    </row>
    <row r="136" customFormat="false" ht="15" hidden="false" customHeight="false" outlineLevel="0" collapsed="false">
      <c r="A136" s="8" t="s">
        <v>1518</v>
      </c>
      <c r="B136" s="8" t="s">
        <v>783</v>
      </c>
      <c r="C136" s="8" t="s">
        <v>784</v>
      </c>
      <c r="D136" s="8" t="s">
        <v>1519</v>
      </c>
      <c r="E136" s="8" t="s">
        <v>1323</v>
      </c>
      <c r="F136" s="8" t="s">
        <v>531</v>
      </c>
      <c r="G136" s="8" t="s">
        <v>1264</v>
      </c>
      <c r="H136" s="8" t="s">
        <v>449</v>
      </c>
      <c r="I136" s="9" t="s">
        <v>1265</v>
      </c>
      <c r="J136" s="9"/>
      <c r="K136" s="9"/>
      <c r="L136" s="8"/>
    </row>
  </sheetData>
  <autoFilter ref="A1:L1"/>
  <conditionalFormatting sqref="I2:I136">
    <cfRule type="cellIs" priority="2" operator="equal" aboveAverage="0" equalAverage="0" bottom="0" percent="0" rank="0" text="" dxfId="2">
      <formula>"Accepted"</formula>
    </cfRule>
    <cfRule type="cellIs" priority="3" operator="equal" aboveAverage="0" equalAverage="0" bottom="0" percent="0" rank="0" text="" dxfId="4">
      <formula>"Follow-up required"</formula>
    </cfRule>
  </conditionalFormatting>
  <dataValidations count="1">
    <dataValidation allowBlank="true" errorStyle="stop" operator="between" showDropDown="false" showErrorMessage="false" showInputMessage="false" sqref="I2:I136" type="list">
      <formula1>"Not started,In progress,Received,Accepted,Follow-up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7" t="s">
        <v>1520</v>
      </c>
      <c r="B1" s="7" t="s">
        <v>1521</v>
      </c>
      <c r="C1" s="7" t="s">
        <v>1522</v>
      </c>
      <c r="D1" s="7" t="s">
        <v>1523</v>
      </c>
      <c r="E1" s="7" t="s">
        <v>1524</v>
      </c>
      <c r="F1" s="7" t="s">
        <v>1525</v>
      </c>
      <c r="G1" s="7" t="s">
        <v>1526</v>
      </c>
      <c r="H1" s="7" t="s">
        <v>1527</v>
      </c>
      <c r="I1" s="7" t="s">
        <v>1528</v>
      </c>
      <c r="J1" s="7" t="s">
        <v>1529</v>
      </c>
      <c r="K1" s="7" t="s">
        <v>1530</v>
      </c>
      <c r="L1" s="7" t="s">
        <v>1531</v>
      </c>
      <c r="M1" s="7" t="s">
        <v>1532</v>
      </c>
      <c r="N1" s="7" t="s">
        <v>1533</v>
      </c>
      <c r="O1" s="7" t="s">
        <v>1534</v>
      </c>
      <c r="P1" s="7" t="s">
        <v>1535</v>
      </c>
    </row>
    <row r="2" customFormat="false" ht="23.85" hidden="false" customHeight="false" outlineLevel="0" collapsed="false">
      <c r="A2" s="14" t="s">
        <v>1536</v>
      </c>
      <c r="B2" s="8" t="s">
        <v>1537</v>
      </c>
      <c r="C2" s="8" t="s">
        <v>1538</v>
      </c>
      <c r="D2" s="8" t="s">
        <v>1539</v>
      </c>
      <c r="E2" s="21" t="n">
        <v>3</v>
      </c>
      <c r="F2" s="21" t="n">
        <v>5</v>
      </c>
      <c r="G2" s="8" t="n">
        <f aca="false">E2*F2</f>
        <v>15</v>
      </c>
      <c r="H2" s="8" t="str">
        <f aca="false">IF(G2&gt;=15,"High",IF(G2&gt;=8,"Medium","Low"))</f>
        <v>High</v>
      </c>
      <c r="I2" s="8" t="s">
        <v>1540</v>
      </c>
      <c r="J2" s="21" t="n">
        <v>1</v>
      </c>
      <c r="K2" s="8" t="n">
        <f aca="false">J2*M2</f>
        <v>5</v>
      </c>
      <c r="L2" s="8" t="str">
        <f aca="false">IF(K2&gt;=15,"High",IF(K2&gt;=8,"Medium","Low"))</f>
        <v>Low</v>
      </c>
      <c r="M2" s="21" t="n">
        <v>5</v>
      </c>
      <c r="N2" s="8" t="s">
        <v>1541</v>
      </c>
      <c r="O2" s="8" t="s">
        <v>432</v>
      </c>
      <c r="P2" s="9"/>
    </row>
    <row r="3" customFormat="false" ht="23.85" hidden="false" customHeight="false" outlineLevel="0" collapsed="false">
      <c r="A3" s="14" t="s">
        <v>1542</v>
      </c>
      <c r="B3" s="8" t="s">
        <v>1543</v>
      </c>
      <c r="C3" s="8" t="s">
        <v>80</v>
      </c>
      <c r="D3" s="8" t="s">
        <v>1544</v>
      </c>
      <c r="E3" s="21" t="n">
        <v>3</v>
      </c>
      <c r="F3" s="21" t="n">
        <v>5</v>
      </c>
      <c r="G3" s="8" t="n">
        <f aca="false">E3*F3</f>
        <v>15</v>
      </c>
      <c r="H3" s="8" t="str">
        <f aca="false">IF(G3&gt;=15,"High",IF(G3&gt;=8,"Medium","Low"))</f>
        <v>High</v>
      </c>
      <c r="I3" s="8" t="s">
        <v>1545</v>
      </c>
      <c r="J3" s="21" t="n">
        <v>2</v>
      </c>
      <c r="K3" s="8" t="n">
        <f aca="false">J3*M3</f>
        <v>8</v>
      </c>
      <c r="L3" s="8" t="str">
        <f aca="false">IF(K3&gt;=15,"High",IF(K3&gt;=8,"Medium","Low"))</f>
        <v>Medium</v>
      </c>
      <c r="M3" s="21" t="n">
        <v>4</v>
      </c>
      <c r="N3" s="8" t="s">
        <v>1541</v>
      </c>
      <c r="O3" s="8" t="s">
        <v>449</v>
      </c>
      <c r="P3" s="9"/>
    </row>
    <row r="4" customFormat="false" ht="15" hidden="false" customHeight="false" outlineLevel="0" collapsed="false">
      <c r="A4" s="14" t="s">
        <v>1546</v>
      </c>
      <c r="B4" s="8" t="s">
        <v>1547</v>
      </c>
      <c r="C4" s="8" t="s">
        <v>604</v>
      </c>
      <c r="D4" s="8" t="s">
        <v>1548</v>
      </c>
      <c r="E4" s="21" t="n">
        <v>3</v>
      </c>
      <c r="F4" s="21" t="n">
        <v>5</v>
      </c>
      <c r="G4" s="8" t="n">
        <f aca="false">E4*F4</f>
        <v>15</v>
      </c>
      <c r="H4" s="8" t="str">
        <f aca="false">IF(G4&gt;=15,"High",IF(G4&gt;=8,"Medium","Low"))</f>
        <v>High</v>
      </c>
      <c r="I4" s="8" t="s">
        <v>1549</v>
      </c>
      <c r="J4" s="21" t="n">
        <v>1</v>
      </c>
      <c r="K4" s="8" t="n">
        <f aca="false">J4*M4</f>
        <v>4</v>
      </c>
      <c r="L4" s="8" t="str">
        <f aca="false">IF(K4&gt;=15,"High",IF(K4&gt;=8,"Medium","Low"))</f>
        <v>Low</v>
      </c>
      <c r="M4" s="21" t="n">
        <v>4</v>
      </c>
      <c r="N4" s="8" t="s">
        <v>1541</v>
      </c>
      <c r="O4" s="8" t="s">
        <v>449</v>
      </c>
      <c r="P4" s="9"/>
    </row>
    <row r="5" customFormat="false" ht="15" hidden="false" customHeight="false" outlineLevel="0" collapsed="false">
      <c r="A5" s="14" t="s">
        <v>1550</v>
      </c>
      <c r="B5" s="8" t="s">
        <v>1551</v>
      </c>
      <c r="C5" s="8" t="s">
        <v>1552</v>
      </c>
      <c r="D5" s="8" t="s">
        <v>1553</v>
      </c>
      <c r="E5" s="21" t="n">
        <v>3</v>
      </c>
      <c r="F5" s="21" t="n">
        <v>4</v>
      </c>
      <c r="G5" s="8" t="n">
        <f aca="false">E5*F5</f>
        <v>12</v>
      </c>
      <c r="H5" s="8" t="str">
        <f aca="false">IF(G5&gt;=15,"High",IF(G5&gt;=8,"Medium","Low"))</f>
        <v>Medium</v>
      </c>
      <c r="I5" s="8" t="s">
        <v>1554</v>
      </c>
      <c r="J5" s="21" t="n">
        <v>1</v>
      </c>
      <c r="K5" s="8" t="n">
        <f aca="false">J5*M5</f>
        <v>4</v>
      </c>
      <c r="L5" s="8" t="str">
        <f aca="false">IF(K5&gt;=15,"High",IF(K5&gt;=8,"Medium","Low"))</f>
        <v>Low</v>
      </c>
      <c r="M5" s="21" t="n">
        <v>4</v>
      </c>
      <c r="N5" s="8" t="s">
        <v>1541</v>
      </c>
      <c r="O5" s="8" t="s">
        <v>394</v>
      </c>
      <c r="P5" s="9"/>
    </row>
    <row r="6" customFormat="false" ht="15" hidden="false" customHeight="false" outlineLevel="0" collapsed="false">
      <c r="A6" s="14" t="s">
        <v>1555</v>
      </c>
      <c r="B6" s="8" t="s">
        <v>1556</v>
      </c>
      <c r="C6" s="8" t="s">
        <v>596</v>
      </c>
      <c r="D6" s="8" t="s">
        <v>1557</v>
      </c>
      <c r="E6" s="21" t="n">
        <v>3</v>
      </c>
      <c r="F6" s="21" t="n">
        <v>4</v>
      </c>
      <c r="G6" s="8" t="n">
        <f aca="false">E6*F6</f>
        <v>12</v>
      </c>
      <c r="H6" s="8" t="str">
        <f aca="false">IF(G6&gt;=15,"High",IF(G6&gt;=8,"Medium","Low"))</f>
        <v>Medium</v>
      </c>
      <c r="I6" s="8" t="s">
        <v>1558</v>
      </c>
      <c r="J6" s="21" t="n">
        <v>2</v>
      </c>
      <c r="K6" s="8" t="n">
        <f aca="false">J6*M6</f>
        <v>6</v>
      </c>
      <c r="L6" s="8" t="str">
        <f aca="false">IF(K6&gt;=15,"High",IF(K6&gt;=8,"Medium","Low"))</f>
        <v>Low</v>
      </c>
      <c r="M6" s="21" t="n">
        <v>3</v>
      </c>
      <c r="N6" s="8" t="s">
        <v>1541</v>
      </c>
      <c r="O6" s="8" t="s">
        <v>432</v>
      </c>
      <c r="P6" s="9"/>
    </row>
    <row r="7" customFormat="false" ht="15" hidden="false" customHeight="false" outlineLevel="0" collapsed="false">
      <c r="A7" s="14" t="s">
        <v>1559</v>
      </c>
      <c r="B7" s="8" t="s">
        <v>1560</v>
      </c>
      <c r="C7" s="8" t="s">
        <v>121</v>
      </c>
      <c r="D7" s="8" t="s">
        <v>1561</v>
      </c>
      <c r="E7" s="21" t="n">
        <v>3</v>
      </c>
      <c r="F7" s="21" t="n">
        <v>5</v>
      </c>
      <c r="G7" s="8" t="n">
        <f aca="false">E7*F7</f>
        <v>15</v>
      </c>
      <c r="H7" s="8" t="str">
        <f aca="false">IF(G7&gt;=15,"High",IF(G7&gt;=8,"Medium","Low"))</f>
        <v>High</v>
      </c>
      <c r="I7" s="8" t="s">
        <v>1562</v>
      </c>
      <c r="J7" s="21" t="n">
        <v>1</v>
      </c>
      <c r="K7" s="8" t="n">
        <f aca="false">J7*M7</f>
        <v>5</v>
      </c>
      <c r="L7" s="8" t="str">
        <f aca="false">IF(K7&gt;=15,"High",IF(K7&gt;=8,"Medium","Low"))</f>
        <v>Low</v>
      </c>
      <c r="M7" s="21" t="n">
        <v>5</v>
      </c>
      <c r="N7" s="8" t="s">
        <v>1541</v>
      </c>
      <c r="O7" s="8" t="s">
        <v>449</v>
      </c>
      <c r="P7" s="9"/>
    </row>
    <row r="8" customFormat="false" ht="15" hidden="false" customHeight="false" outlineLevel="0" collapsed="false">
      <c r="A8" s="14" t="s">
        <v>1563</v>
      </c>
      <c r="B8" s="8" t="s">
        <v>1564</v>
      </c>
      <c r="C8" s="8" t="s">
        <v>1565</v>
      </c>
      <c r="D8" s="8" t="s">
        <v>1548</v>
      </c>
      <c r="E8" s="21" t="n">
        <v>3</v>
      </c>
      <c r="F8" s="21" t="n">
        <v>5</v>
      </c>
      <c r="G8" s="8" t="n">
        <f aca="false">E8*F8</f>
        <v>15</v>
      </c>
      <c r="H8" s="8" t="str">
        <f aca="false">IF(G8&gt;=15,"High",IF(G8&gt;=8,"Medium","Low"))</f>
        <v>High</v>
      </c>
      <c r="I8" s="8" t="s">
        <v>1566</v>
      </c>
      <c r="J8" s="21" t="n">
        <v>2</v>
      </c>
      <c r="K8" s="8" t="n">
        <f aca="false">J8*M8</f>
        <v>8</v>
      </c>
      <c r="L8" s="8" t="str">
        <f aca="false">IF(K8&gt;=15,"High",IF(K8&gt;=8,"Medium","Low"))</f>
        <v>Medium</v>
      </c>
      <c r="M8" s="21" t="n">
        <v>4</v>
      </c>
      <c r="N8" s="8" t="s">
        <v>1541</v>
      </c>
      <c r="O8" s="8" t="s">
        <v>497</v>
      </c>
      <c r="P8" s="9"/>
    </row>
    <row r="9" customFormat="false" ht="15" hidden="false" customHeight="false" outlineLevel="0" collapsed="false">
      <c r="A9" s="14" t="s">
        <v>1567</v>
      </c>
      <c r="B9" s="8" t="s">
        <v>1568</v>
      </c>
      <c r="C9" s="8" t="s">
        <v>153</v>
      </c>
      <c r="D9" s="8" t="s">
        <v>1569</v>
      </c>
      <c r="E9" s="21" t="n">
        <v>3</v>
      </c>
      <c r="F9" s="21" t="n">
        <v>4</v>
      </c>
      <c r="G9" s="8" t="n">
        <f aca="false">E9*F9</f>
        <v>12</v>
      </c>
      <c r="H9" s="8" t="str">
        <f aca="false">IF(G9&gt;=15,"High",IF(G9&gt;=8,"Medium","Low"))</f>
        <v>Medium</v>
      </c>
      <c r="I9" s="8" t="s">
        <v>1570</v>
      </c>
      <c r="J9" s="21" t="n">
        <v>1</v>
      </c>
      <c r="K9" s="8" t="n">
        <f aca="false">J9*M9</f>
        <v>4</v>
      </c>
      <c r="L9" s="8" t="str">
        <f aca="false">IF(K9&gt;=15,"High",IF(K9&gt;=8,"Medium","Low"))</f>
        <v>Low</v>
      </c>
      <c r="M9" s="21" t="n">
        <v>4</v>
      </c>
      <c r="N9" s="8" t="s">
        <v>1541</v>
      </c>
      <c r="O9" s="8" t="s">
        <v>686</v>
      </c>
      <c r="P9" s="9"/>
    </row>
    <row r="10" customFormat="false" ht="23.85" hidden="false" customHeight="false" outlineLevel="0" collapsed="false">
      <c r="A10" s="14" t="s">
        <v>1571</v>
      </c>
      <c r="B10" s="8" t="s">
        <v>1572</v>
      </c>
      <c r="C10" s="8" t="s">
        <v>1573</v>
      </c>
      <c r="D10" s="8" t="s">
        <v>1548</v>
      </c>
      <c r="E10" s="21" t="n">
        <v>2</v>
      </c>
      <c r="F10" s="21" t="n">
        <v>5</v>
      </c>
      <c r="G10" s="8" t="n">
        <f aca="false">E10*F10</f>
        <v>10</v>
      </c>
      <c r="H10" s="8" t="str">
        <f aca="false">IF(G10&gt;=15,"High",IF(G10&gt;=8,"Medium","Low"))</f>
        <v>Medium</v>
      </c>
      <c r="I10" s="8" t="s">
        <v>1574</v>
      </c>
      <c r="J10" s="21" t="n">
        <v>1</v>
      </c>
      <c r="K10" s="8" t="n">
        <f aca="false">J10*M10</f>
        <v>4</v>
      </c>
      <c r="L10" s="8" t="str">
        <f aca="false">IF(K10&gt;=15,"High",IF(K10&gt;=8,"Medium","Low"))</f>
        <v>Low</v>
      </c>
      <c r="M10" s="21" t="n">
        <v>4</v>
      </c>
      <c r="N10" s="8" t="s">
        <v>1541</v>
      </c>
      <c r="O10" s="8" t="s">
        <v>713</v>
      </c>
      <c r="P10" s="9"/>
    </row>
    <row r="11" customFormat="false" ht="23.85" hidden="false" customHeight="false" outlineLevel="0" collapsed="false">
      <c r="A11" s="14" t="s">
        <v>1575</v>
      </c>
      <c r="B11" s="8" t="s">
        <v>1576</v>
      </c>
      <c r="C11" s="8" t="s">
        <v>121</v>
      </c>
      <c r="D11" s="8" t="s">
        <v>1577</v>
      </c>
      <c r="E11" s="21" t="n">
        <v>2</v>
      </c>
      <c r="F11" s="21" t="n">
        <v>4</v>
      </c>
      <c r="G11" s="8" t="n">
        <f aca="false">E11*F11</f>
        <v>8</v>
      </c>
      <c r="H11" s="8" t="str">
        <f aca="false">IF(G11&gt;=15,"High",IF(G11&gt;=8,"Medium","Low"))</f>
        <v>Medium</v>
      </c>
      <c r="I11" s="8" t="s">
        <v>1578</v>
      </c>
      <c r="J11" s="21" t="n">
        <v>2</v>
      </c>
      <c r="K11" s="8" t="n">
        <f aca="false">J11*M11</f>
        <v>6</v>
      </c>
      <c r="L11" s="8" t="str">
        <f aca="false">IF(K11&gt;=15,"High",IF(K11&gt;=8,"Medium","Low"))</f>
        <v>Low</v>
      </c>
      <c r="M11" s="21" t="n">
        <v>3</v>
      </c>
      <c r="N11" s="8" t="s">
        <v>1579</v>
      </c>
      <c r="O11" s="8" t="s">
        <v>713</v>
      </c>
      <c r="P11" s="9"/>
    </row>
    <row r="12" customFormat="false" ht="15" hidden="false" customHeight="false" outlineLevel="0" collapsed="false">
      <c r="A12" s="14" t="s">
        <v>1580</v>
      </c>
      <c r="B12" s="8" t="s">
        <v>1581</v>
      </c>
      <c r="C12" s="8" t="s">
        <v>176</v>
      </c>
      <c r="D12" s="8" t="s">
        <v>1582</v>
      </c>
      <c r="E12" s="21" t="n">
        <v>2</v>
      </c>
      <c r="F12" s="21" t="n">
        <v>4</v>
      </c>
      <c r="G12" s="8" t="n">
        <f aca="false">E12*F12</f>
        <v>8</v>
      </c>
      <c r="H12" s="8" t="str">
        <f aca="false">IF(G12&gt;=15,"High",IF(G12&gt;=8,"Medium","Low"))</f>
        <v>Medium</v>
      </c>
      <c r="I12" s="8" t="s">
        <v>883</v>
      </c>
      <c r="J12" s="21" t="n">
        <v>2</v>
      </c>
      <c r="K12" s="8" t="n">
        <f aca="false">J12*M12</f>
        <v>6</v>
      </c>
      <c r="L12" s="8" t="str">
        <f aca="false">IF(K12&gt;=15,"High",IF(K12&gt;=8,"Medium","Low"))</f>
        <v>Low</v>
      </c>
      <c r="M12" s="21" t="n">
        <v>3</v>
      </c>
      <c r="N12" s="8" t="s">
        <v>1583</v>
      </c>
      <c r="O12" s="8" t="s">
        <v>272</v>
      </c>
      <c r="P12" s="9"/>
    </row>
    <row r="13" customFormat="false" ht="15" hidden="false" customHeight="false" outlineLevel="0" collapsed="false">
      <c r="A13" s="14" t="s">
        <v>1584</v>
      </c>
      <c r="B13" s="8" t="s">
        <v>1585</v>
      </c>
      <c r="C13" s="8" t="s">
        <v>1586</v>
      </c>
      <c r="D13" s="8" t="s">
        <v>1548</v>
      </c>
      <c r="E13" s="21" t="n">
        <v>4</v>
      </c>
      <c r="F13" s="21" t="n">
        <v>4</v>
      </c>
      <c r="G13" s="8" t="n">
        <f aca="false">E13*F13</f>
        <v>16</v>
      </c>
      <c r="H13" s="8" t="str">
        <f aca="false">IF(G13&gt;=15,"High",IF(G13&gt;=8,"Medium","Low"))</f>
        <v>High</v>
      </c>
      <c r="I13" s="8" t="s">
        <v>1587</v>
      </c>
      <c r="J13" s="21" t="n">
        <v>1</v>
      </c>
      <c r="K13" s="8" t="n">
        <f aca="false">J13*M13</f>
        <v>4</v>
      </c>
      <c r="L13" s="8" t="str">
        <f aca="false">IF(K13&gt;=15,"High",IF(K13&gt;=8,"Medium","Low"))</f>
        <v>Low</v>
      </c>
      <c r="M13" s="21" t="n">
        <v>4</v>
      </c>
      <c r="N13" s="8" t="s">
        <v>1541</v>
      </c>
      <c r="O13" s="8" t="s">
        <v>394</v>
      </c>
      <c r="P13" s="9"/>
    </row>
    <row r="14" customFormat="false" ht="15" hidden="false" customHeight="false" outlineLevel="0" collapsed="false">
      <c r="A14" s="14" t="s">
        <v>1588</v>
      </c>
      <c r="B14" s="8" t="s">
        <v>1589</v>
      </c>
      <c r="C14" s="8" t="s">
        <v>66</v>
      </c>
      <c r="D14" s="8" t="s">
        <v>1561</v>
      </c>
      <c r="E14" s="21" t="n">
        <v>3</v>
      </c>
      <c r="F14" s="21" t="n">
        <v>4</v>
      </c>
      <c r="G14" s="8" t="n">
        <f aca="false">E14*F14</f>
        <v>12</v>
      </c>
      <c r="H14" s="8" t="str">
        <f aca="false">IF(G14&gt;=15,"High",IF(G14&gt;=8,"Medium","Low"))</f>
        <v>Medium</v>
      </c>
      <c r="I14" s="8" t="s">
        <v>1590</v>
      </c>
      <c r="J14" s="21" t="n">
        <v>1</v>
      </c>
      <c r="K14" s="8" t="n">
        <f aca="false">J14*M14</f>
        <v>3</v>
      </c>
      <c r="L14" s="8" t="str">
        <f aca="false">IF(K14&gt;=15,"High",IF(K14&gt;=8,"Medium","Low"))</f>
        <v>Low</v>
      </c>
      <c r="M14" s="21" t="n">
        <v>3</v>
      </c>
      <c r="N14" s="8" t="s">
        <v>1541</v>
      </c>
      <c r="O14" s="8" t="s">
        <v>497</v>
      </c>
      <c r="P14" s="9"/>
    </row>
    <row r="15" customFormat="false" ht="23.85" hidden="false" customHeight="false" outlineLevel="0" collapsed="false">
      <c r="A15" s="14" t="s">
        <v>1591</v>
      </c>
      <c r="B15" s="8" t="s">
        <v>1592</v>
      </c>
      <c r="C15" s="8" t="s">
        <v>1593</v>
      </c>
      <c r="D15" s="8" t="s">
        <v>1594</v>
      </c>
      <c r="E15" s="21" t="n">
        <v>2</v>
      </c>
      <c r="F15" s="21" t="n">
        <v>4</v>
      </c>
      <c r="G15" s="8" t="n">
        <f aca="false">E15*F15</f>
        <v>8</v>
      </c>
      <c r="H15" s="8" t="str">
        <f aca="false">IF(G15&gt;=15,"High",IF(G15&gt;=8,"Medium","Low"))</f>
        <v>Medium</v>
      </c>
      <c r="I15" s="8" t="s">
        <v>1595</v>
      </c>
      <c r="J15" s="21" t="n">
        <v>1</v>
      </c>
      <c r="K15" s="8" t="n">
        <f aca="false">J15*M15</f>
        <v>4</v>
      </c>
      <c r="L15" s="8" t="str">
        <f aca="false">IF(K15&gt;=15,"High",IF(K15&gt;=8,"Medium","Low"))</f>
        <v>Low</v>
      </c>
      <c r="M15" s="21" t="n">
        <v>4</v>
      </c>
      <c r="N15" s="8" t="s">
        <v>1541</v>
      </c>
      <c r="O15" s="8" t="s">
        <v>432</v>
      </c>
      <c r="P15" s="9"/>
    </row>
    <row r="16" customFormat="false" ht="15" hidden="false" customHeight="false" outlineLevel="0" collapsed="false">
      <c r="A16" s="14" t="s">
        <v>1596</v>
      </c>
      <c r="B16" s="8" t="s">
        <v>1597</v>
      </c>
      <c r="C16" s="8" t="s">
        <v>172</v>
      </c>
      <c r="D16" s="8" t="s">
        <v>1598</v>
      </c>
      <c r="E16" s="21" t="n">
        <v>3</v>
      </c>
      <c r="F16" s="21" t="n">
        <v>3</v>
      </c>
      <c r="G16" s="8" t="n">
        <f aca="false">E16*F16</f>
        <v>9</v>
      </c>
      <c r="H16" s="8" t="str">
        <f aca="false">IF(G16&gt;=15,"High",IF(G16&gt;=8,"Medium","Low"))</f>
        <v>Medium</v>
      </c>
      <c r="I16" s="8" t="s">
        <v>1599</v>
      </c>
      <c r="J16" s="21" t="n">
        <v>1</v>
      </c>
      <c r="K16" s="8" t="n">
        <f aca="false">J16*M16</f>
        <v>3</v>
      </c>
      <c r="L16" s="8" t="str">
        <f aca="false">IF(K16&gt;=15,"High",IF(K16&gt;=8,"Medium","Low"))</f>
        <v>Low</v>
      </c>
      <c r="M16" s="21" t="n">
        <v>3</v>
      </c>
      <c r="N16" s="8" t="s">
        <v>1541</v>
      </c>
      <c r="O16" s="8" t="s">
        <v>272</v>
      </c>
      <c r="P16" s="9"/>
    </row>
    <row r="17" customFormat="false" ht="15" hidden="false" customHeight="false" outlineLevel="0" collapsed="false">
      <c r="A17" s="14" t="s">
        <v>1600</v>
      </c>
      <c r="B17" s="8" t="s">
        <v>1601</v>
      </c>
      <c r="C17" s="8" t="s">
        <v>162</v>
      </c>
      <c r="D17" s="8" t="s">
        <v>1602</v>
      </c>
      <c r="E17" s="21" t="n">
        <v>3</v>
      </c>
      <c r="F17" s="21" t="n">
        <v>3</v>
      </c>
      <c r="G17" s="8" t="n">
        <f aca="false">E17*F17</f>
        <v>9</v>
      </c>
      <c r="H17" s="8" t="str">
        <f aca="false">IF(G17&gt;=15,"High",IF(G17&gt;=8,"Medium","Low"))</f>
        <v>Medium</v>
      </c>
      <c r="I17" s="8" t="s">
        <v>165</v>
      </c>
      <c r="J17" s="21" t="n">
        <v>1</v>
      </c>
      <c r="K17" s="8" t="n">
        <f aca="false">J17*M17</f>
        <v>2</v>
      </c>
      <c r="L17" s="8" t="str">
        <f aca="false">IF(K17&gt;=15,"High",IF(K17&gt;=8,"Medium","Low"))</f>
        <v>Low</v>
      </c>
      <c r="M17" s="21" t="n">
        <v>2</v>
      </c>
      <c r="N17" s="8" t="s">
        <v>1541</v>
      </c>
      <c r="O17" s="8" t="s">
        <v>394</v>
      </c>
      <c r="P17" s="9"/>
    </row>
    <row r="18" customFormat="false" ht="23.85" hidden="false" customHeight="false" outlineLevel="0" collapsed="false">
      <c r="A18" s="14" t="s">
        <v>1603</v>
      </c>
      <c r="B18" s="8" t="s">
        <v>1604</v>
      </c>
      <c r="C18" s="8" t="s">
        <v>1538</v>
      </c>
      <c r="D18" s="8" t="s">
        <v>1605</v>
      </c>
      <c r="E18" s="21" t="n">
        <v>3</v>
      </c>
      <c r="F18" s="21" t="n">
        <v>3</v>
      </c>
      <c r="G18" s="8" t="n">
        <f aca="false">E18*F18</f>
        <v>9</v>
      </c>
      <c r="H18" s="8" t="str">
        <f aca="false">IF(G18&gt;=15,"High",IF(G18&gt;=8,"Medium","Low"))</f>
        <v>Medium</v>
      </c>
      <c r="I18" s="8" t="s">
        <v>1606</v>
      </c>
      <c r="J18" s="21" t="n">
        <v>2</v>
      </c>
      <c r="K18" s="8" t="n">
        <f aca="false">J18*M18</f>
        <v>4</v>
      </c>
      <c r="L18" s="8" t="str">
        <f aca="false">IF(K18&gt;=15,"High",IF(K18&gt;=8,"Medium","Low"))</f>
        <v>Low</v>
      </c>
      <c r="M18" s="21" t="n">
        <v>2</v>
      </c>
      <c r="N18" s="8" t="s">
        <v>1541</v>
      </c>
      <c r="O18" s="8" t="s">
        <v>432</v>
      </c>
      <c r="P18" s="9"/>
    </row>
    <row r="19" customFormat="false" ht="15" hidden="false" customHeight="false" outlineLevel="0" collapsed="false">
      <c r="A19" s="14" t="s">
        <v>1607</v>
      </c>
      <c r="B19" s="8" t="s">
        <v>1608</v>
      </c>
      <c r="C19" s="8" t="s">
        <v>745</v>
      </c>
      <c r="D19" s="8" t="s">
        <v>1598</v>
      </c>
      <c r="E19" s="21" t="n">
        <v>2</v>
      </c>
      <c r="F19" s="21" t="n">
        <v>4</v>
      </c>
      <c r="G19" s="8" t="n">
        <f aca="false">E19*F19</f>
        <v>8</v>
      </c>
      <c r="H19" s="8" t="str">
        <f aca="false">IF(G19&gt;=15,"High",IF(G19&gt;=8,"Medium","Low"))</f>
        <v>Medium</v>
      </c>
      <c r="I19" s="8" t="s">
        <v>1609</v>
      </c>
      <c r="J19" s="21" t="n">
        <v>1</v>
      </c>
      <c r="K19" s="8" t="n">
        <f aca="false">J19*M19</f>
        <v>3</v>
      </c>
      <c r="L19" s="8" t="str">
        <f aca="false">IF(K19&gt;=15,"High",IF(K19&gt;=8,"Medium","Low"))</f>
        <v>Low</v>
      </c>
      <c r="M19" s="21" t="n">
        <v>3</v>
      </c>
      <c r="N19" s="8" t="s">
        <v>1541</v>
      </c>
      <c r="O19" s="8" t="s">
        <v>232</v>
      </c>
      <c r="P19" s="9"/>
    </row>
    <row r="21" customFormat="false" ht="15" hidden="false" customHeight="false" outlineLevel="0" collapsed="false">
      <c r="A21" s="22" t="s">
        <v>1610</v>
      </c>
      <c r="B21" s="22"/>
      <c r="C21" s="22"/>
      <c r="D21" s="22"/>
      <c r="E21" s="22"/>
      <c r="F21" s="22"/>
      <c r="G21" s="22"/>
      <c r="H21" s="22"/>
      <c r="I21" s="22"/>
    </row>
  </sheetData>
  <autoFilter ref="A1:P1"/>
  <mergeCells count="1">
    <mergeCell ref="A21:I21"/>
  </mergeCells>
  <conditionalFormatting sqref="H2:H19">
    <cfRule type="cellIs" priority="2" operator="equal" aboveAverage="0" equalAverage="0" bottom="0" percent="0" rank="0" text="" dxfId="4">
      <formula>"High"</formula>
    </cfRule>
    <cfRule type="cellIs" priority="3" operator="equal" aboveAverage="0" equalAverage="0" bottom="0" percent="0" rank="0" text="" dxfId="3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L2:L19">
    <cfRule type="cellIs" priority="5" operator="equal" aboveAverage="0" equalAverage="0" bottom="0" percent="0" rank="0" text="" dxfId="4">
      <formula>"High"</formula>
    </cfRule>
    <cfRule type="cellIs" priority="6" operator="equal" aboveAverage="0" equalAverage="0" bottom="0" percent="0" rank="0" text="" dxfId="3">
      <formula>"Medium"</formula>
    </cfRule>
    <cfRule type="cellIs" priority="7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14" min="3" style="0" width="6"/>
    <col collapsed="false" customWidth="true" hidden="false" outlineLevel="0" max="15" min="15" style="0" width="12"/>
  </cols>
  <sheetData>
    <row r="1" customFormat="false" ht="31.5" hidden="false" customHeight="true" outlineLevel="0" collapsed="false">
      <c r="A1" s="7" t="s">
        <v>1611</v>
      </c>
      <c r="B1" s="7" t="s">
        <v>1612</v>
      </c>
      <c r="C1" s="7" t="s">
        <v>1613</v>
      </c>
      <c r="D1" s="7" t="s">
        <v>1614</v>
      </c>
      <c r="E1" s="7" t="s">
        <v>1615</v>
      </c>
      <c r="F1" s="7" t="s">
        <v>1616</v>
      </c>
      <c r="G1" s="7" t="s">
        <v>1617</v>
      </c>
      <c r="H1" s="7" t="s">
        <v>1618</v>
      </c>
      <c r="I1" s="7" t="s">
        <v>1619</v>
      </c>
      <c r="J1" s="7" t="s">
        <v>1620</v>
      </c>
      <c r="K1" s="7" t="s">
        <v>1621</v>
      </c>
      <c r="L1" s="7" t="s">
        <v>1622</v>
      </c>
      <c r="M1" s="7" t="s">
        <v>1623</v>
      </c>
      <c r="N1" s="7" t="s">
        <v>1624</v>
      </c>
      <c r="O1" s="7" t="s">
        <v>1625</v>
      </c>
    </row>
    <row r="2" customFormat="false" ht="15" hidden="false" customHeight="false" outlineLevel="0" collapsed="false">
      <c r="A2" s="8" t="s">
        <v>1626</v>
      </c>
      <c r="B2" s="8" t="s">
        <v>64</v>
      </c>
      <c r="C2" s="23" t="s">
        <v>1627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8" t="n">
        <f aca="false">COUNTIF(C2:N2,"●")</f>
        <v>1</v>
      </c>
    </row>
    <row r="3" customFormat="false" ht="15" hidden="false" customHeight="false" outlineLevel="0" collapsed="false">
      <c r="A3" s="8" t="s">
        <v>1628</v>
      </c>
      <c r="B3" s="8" t="s">
        <v>241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3" t="s">
        <v>1627</v>
      </c>
      <c r="N3" s="24"/>
      <c r="O3" s="8" t="n">
        <f aca="false">COUNTIF(C3:N3,"●")</f>
        <v>1</v>
      </c>
    </row>
    <row r="4" customFormat="false" ht="15" hidden="false" customHeight="false" outlineLevel="0" collapsed="false">
      <c r="A4" s="8" t="s">
        <v>1629</v>
      </c>
      <c r="B4" s="8" t="s">
        <v>259</v>
      </c>
      <c r="C4" s="23" t="s">
        <v>1627</v>
      </c>
      <c r="D4" s="24"/>
      <c r="E4" s="24"/>
      <c r="F4" s="23" t="s">
        <v>1627</v>
      </c>
      <c r="G4" s="24"/>
      <c r="H4" s="24"/>
      <c r="I4" s="23" t="s">
        <v>1627</v>
      </c>
      <c r="J4" s="24"/>
      <c r="K4" s="24"/>
      <c r="L4" s="23" t="s">
        <v>1627</v>
      </c>
      <c r="M4" s="24"/>
      <c r="N4" s="24"/>
      <c r="O4" s="8" t="n">
        <f aca="false">COUNTIF(C4:N4,"●")</f>
        <v>4</v>
      </c>
    </row>
    <row r="5" customFormat="false" ht="15" hidden="false" customHeight="false" outlineLevel="0" collapsed="false">
      <c r="A5" s="8" t="s">
        <v>1630</v>
      </c>
      <c r="B5" s="8" t="s">
        <v>58</v>
      </c>
      <c r="C5" s="24"/>
      <c r="D5" s="24"/>
      <c r="E5" s="23" t="s">
        <v>1627</v>
      </c>
      <c r="F5" s="24"/>
      <c r="G5" s="24"/>
      <c r="H5" s="23" t="s">
        <v>1627</v>
      </c>
      <c r="I5" s="24"/>
      <c r="J5" s="24"/>
      <c r="K5" s="23" t="s">
        <v>1627</v>
      </c>
      <c r="L5" s="24"/>
      <c r="M5" s="24"/>
      <c r="N5" s="23" t="s">
        <v>1627</v>
      </c>
      <c r="O5" s="8" t="n">
        <f aca="false">COUNTIF(C5:N5,"●")</f>
        <v>4</v>
      </c>
    </row>
    <row r="6" customFormat="false" ht="15" hidden="false" customHeight="false" outlineLevel="0" collapsed="false">
      <c r="A6" s="8" t="s">
        <v>1631</v>
      </c>
      <c r="B6" s="8" t="s">
        <v>339</v>
      </c>
      <c r="C6" s="24"/>
      <c r="D6" s="23" t="s">
        <v>1627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8" t="n">
        <f aca="false">COUNTIF(C6:N6,"●")</f>
        <v>1</v>
      </c>
    </row>
    <row r="7" customFormat="false" ht="15" hidden="false" customHeight="false" outlineLevel="0" collapsed="false">
      <c r="A7" s="8" t="s">
        <v>1632</v>
      </c>
      <c r="B7" s="8" t="s">
        <v>418</v>
      </c>
      <c r="C7" s="23" t="s">
        <v>1627</v>
      </c>
      <c r="D7" s="24"/>
      <c r="E7" s="24"/>
      <c r="F7" s="23" t="s">
        <v>1627</v>
      </c>
      <c r="G7" s="24"/>
      <c r="H7" s="24"/>
      <c r="I7" s="23" t="s">
        <v>1627</v>
      </c>
      <c r="J7" s="24"/>
      <c r="K7" s="24"/>
      <c r="L7" s="23" t="s">
        <v>1627</v>
      </c>
      <c r="M7" s="24"/>
      <c r="N7" s="24"/>
      <c r="O7" s="8" t="n">
        <f aca="false">COUNTIF(C7:N7,"●")</f>
        <v>4</v>
      </c>
    </row>
    <row r="8" customFormat="false" ht="15" hidden="false" customHeight="false" outlineLevel="0" collapsed="false">
      <c r="A8" s="8" t="s">
        <v>1633</v>
      </c>
      <c r="B8" s="8" t="s">
        <v>375</v>
      </c>
      <c r="C8" s="24"/>
      <c r="D8" s="24"/>
      <c r="E8" s="24"/>
      <c r="F8" s="24"/>
      <c r="G8" s="23" t="s">
        <v>1627</v>
      </c>
      <c r="H8" s="24"/>
      <c r="I8" s="24"/>
      <c r="J8" s="24"/>
      <c r="K8" s="24"/>
      <c r="L8" s="24"/>
      <c r="M8" s="24"/>
      <c r="N8" s="24"/>
      <c r="O8" s="8" t="n">
        <f aca="false">COUNTIF(C8:N8,"●")</f>
        <v>1</v>
      </c>
    </row>
    <row r="9" customFormat="false" ht="15" hidden="false" customHeight="false" outlineLevel="0" collapsed="false">
      <c r="A9" s="8" t="s">
        <v>1634</v>
      </c>
      <c r="B9" s="8" t="s">
        <v>318</v>
      </c>
      <c r="C9" s="24"/>
      <c r="D9" s="24"/>
      <c r="E9" s="23" t="s">
        <v>1627</v>
      </c>
      <c r="F9" s="24"/>
      <c r="G9" s="24"/>
      <c r="H9" s="24"/>
      <c r="I9" s="24"/>
      <c r="J9" s="24"/>
      <c r="K9" s="24"/>
      <c r="L9" s="24"/>
      <c r="M9" s="24"/>
      <c r="N9" s="24"/>
      <c r="O9" s="8" t="n">
        <f aca="false">COUNTIF(C9:N9,"●")</f>
        <v>1</v>
      </c>
    </row>
    <row r="10" customFormat="false" ht="15" hidden="false" customHeight="false" outlineLevel="0" collapsed="false">
      <c r="A10" s="8" t="s">
        <v>1635</v>
      </c>
      <c r="B10" s="8" t="s">
        <v>151</v>
      </c>
      <c r="C10" s="24"/>
      <c r="D10" s="24"/>
      <c r="E10" s="24"/>
      <c r="F10" s="24"/>
      <c r="G10" s="24"/>
      <c r="H10" s="23" t="s">
        <v>1627</v>
      </c>
      <c r="I10" s="24"/>
      <c r="J10" s="24"/>
      <c r="K10" s="24"/>
      <c r="L10" s="24"/>
      <c r="M10" s="24"/>
      <c r="N10" s="24"/>
      <c r="O10" s="8" t="n">
        <f aca="false">COUNTIF(C10:N10,"●")</f>
        <v>1</v>
      </c>
    </row>
    <row r="11" customFormat="false" ht="15" hidden="false" customHeight="false" outlineLevel="0" collapsed="false">
      <c r="A11" s="8" t="s">
        <v>1636</v>
      </c>
      <c r="B11" s="8" t="s">
        <v>772</v>
      </c>
      <c r="C11" s="24"/>
      <c r="D11" s="23" t="s">
        <v>1627</v>
      </c>
      <c r="E11" s="24"/>
      <c r="F11" s="24"/>
      <c r="G11" s="23" t="s">
        <v>1627</v>
      </c>
      <c r="H11" s="24"/>
      <c r="I11" s="24"/>
      <c r="J11" s="23" t="s">
        <v>1627</v>
      </c>
      <c r="K11" s="24"/>
      <c r="L11" s="24"/>
      <c r="M11" s="23" t="s">
        <v>1627</v>
      </c>
      <c r="N11" s="24"/>
      <c r="O11" s="8" t="n">
        <f aca="false">COUNTIF(C11:N11,"●")</f>
        <v>4</v>
      </c>
    </row>
    <row r="12" customFormat="false" ht="15" hidden="false" customHeight="false" outlineLevel="0" collapsed="false">
      <c r="A12" s="8" t="s">
        <v>1637</v>
      </c>
      <c r="B12" s="8" t="s">
        <v>778</v>
      </c>
      <c r="C12" s="24"/>
      <c r="D12" s="24"/>
      <c r="E12" s="24"/>
      <c r="F12" s="24"/>
      <c r="G12" s="24"/>
      <c r="H12" s="24"/>
      <c r="I12" s="24"/>
      <c r="J12" s="24"/>
      <c r="K12" s="23" t="s">
        <v>1627</v>
      </c>
      <c r="L12" s="24"/>
      <c r="M12" s="24"/>
      <c r="N12" s="24"/>
      <c r="O12" s="8" t="n">
        <f aca="false">COUNTIF(C12:N12,"●")</f>
        <v>1</v>
      </c>
    </row>
    <row r="13" customFormat="false" ht="15" hidden="false" customHeight="false" outlineLevel="0" collapsed="false">
      <c r="A13" s="8" t="s">
        <v>1638</v>
      </c>
      <c r="B13" s="8" t="s">
        <v>758</v>
      </c>
      <c r="C13" s="24"/>
      <c r="D13" s="24"/>
      <c r="E13" s="24"/>
      <c r="F13" s="24"/>
      <c r="G13" s="24"/>
      <c r="H13" s="24"/>
      <c r="I13" s="24"/>
      <c r="J13" s="23" t="s">
        <v>1627</v>
      </c>
      <c r="K13" s="24"/>
      <c r="L13" s="24"/>
      <c r="M13" s="24"/>
      <c r="N13" s="24"/>
      <c r="O13" s="8" t="n">
        <f aca="false">COUNTIF(C13:N13,"●")</f>
        <v>1</v>
      </c>
    </row>
    <row r="14" customFormat="false" ht="15" hidden="false" customHeight="false" outlineLevel="0" collapsed="false">
      <c r="A14" s="8" t="s">
        <v>1639</v>
      </c>
      <c r="B14" s="8" t="s">
        <v>617</v>
      </c>
      <c r="C14" s="24"/>
      <c r="D14" s="24"/>
      <c r="E14" s="23" t="s">
        <v>1627</v>
      </c>
      <c r="F14" s="24"/>
      <c r="G14" s="24"/>
      <c r="H14" s="23" t="s">
        <v>1627</v>
      </c>
      <c r="I14" s="24"/>
      <c r="J14" s="24"/>
      <c r="K14" s="23" t="s">
        <v>1627</v>
      </c>
      <c r="L14" s="24"/>
      <c r="M14" s="24"/>
      <c r="N14" s="23" t="s">
        <v>1627</v>
      </c>
      <c r="O14" s="8" t="n">
        <f aca="false">COUNTIF(C14:N14,"●")</f>
        <v>4</v>
      </c>
    </row>
    <row r="15" customFormat="false" ht="15" hidden="false" customHeight="false" outlineLevel="0" collapsed="false">
      <c r="A15" s="8" t="s">
        <v>1640</v>
      </c>
      <c r="B15" s="8" t="s">
        <v>89</v>
      </c>
      <c r="C15" s="23" t="s">
        <v>1627</v>
      </c>
      <c r="D15" s="23" t="s">
        <v>1627</v>
      </c>
      <c r="E15" s="23" t="s">
        <v>1627</v>
      </c>
      <c r="F15" s="23" t="s">
        <v>1627</v>
      </c>
      <c r="G15" s="23" t="s">
        <v>1627</v>
      </c>
      <c r="H15" s="23" t="s">
        <v>1627</v>
      </c>
      <c r="I15" s="23" t="s">
        <v>1627</v>
      </c>
      <c r="J15" s="23" t="s">
        <v>1627</v>
      </c>
      <c r="K15" s="23" t="s">
        <v>1627</v>
      </c>
      <c r="L15" s="23" t="s">
        <v>1627</v>
      </c>
      <c r="M15" s="23" t="s">
        <v>1627</v>
      </c>
      <c r="N15" s="23" t="s">
        <v>1627</v>
      </c>
      <c r="O15" s="8" t="n">
        <f aca="false">COUNTIF(C15:N15,"●")</f>
        <v>12</v>
      </c>
    </row>
    <row r="16" customFormat="false" ht="15" hidden="false" customHeight="false" outlineLevel="0" collapsed="false">
      <c r="A16" s="8" t="s">
        <v>1641</v>
      </c>
      <c r="B16" s="8" t="s">
        <v>673</v>
      </c>
      <c r="C16" s="23" t="s">
        <v>1627</v>
      </c>
      <c r="D16" s="23" t="s">
        <v>1627</v>
      </c>
      <c r="E16" s="23" t="s">
        <v>1627</v>
      </c>
      <c r="F16" s="23" t="s">
        <v>1627</v>
      </c>
      <c r="G16" s="23" t="s">
        <v>1627</v>
      </c>
      <c r="H16" s="23" t="s">
        <v>1627</v>
      </c>
      <c r="I16" s="23" t="s">
        <v>1627</v>
      </c>
      <c r="J16" s="23" t="s">
        <v>1627</v>
      </c>
      <c r="K16" s="23" t="s">
        <v>1627</v>
      </c>
      <c r="L16" s="23" t="s">
        <v>1627</v>
      </c>
      <c r="M16" s="23" t="s">
        <v>1627</v>
      </c>
      <c r="N16" s="23" t="s">
        <v>1627</v>
      </c>
      <c r="O16" s="8" t="n">
        <f aca="false">COUNTIF(C16:N16,"●")</f>
        <v>12</v>
      </c>
    </row>
    <row r="17" customFormat="false" ht="15" hidden="false" customHeight="false" outlineLevel="0" collapsed="false">
      <c r="A17" s="8" t="s">
        <v>1642</v>
      </c>
      <c r="B17" s="8" t="s">
        <v>52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3" t="s">
        <v>1627</v>
      </c>
      <c r="O17" s="8" t="n">
        <f aca="false">COUNTIF(C17:N17,"●")</f>
        <v>1</v>
      </c>
    </row>
    <row r="18" customFormat="false" ht="15" hidden="false" customHeight="false" outlineLevel="0" collapsed="false">
      <c r="A18" s="8" t="s">
        <v>1643</v>
      </c>
      <c r="B18" s="8" t="s">
        <v>58</v>
      </c>
      <c r="C18" s="24"/>
      <c r="D18" s="24"/>
      <c r="E18" s="23" t="s">
        <v>1627</v>
      </c>
      <c r="F18" s="24"/>
      <c r="G18" s="24"/>
      <c r="H18" s="23" t="s">
        <v>1627</v>
      </c>
      <c r="I18" s="24"/>
      <c r="J18" s="24"/>
      <c r="K18" s="23" t="s">
        <v>1627</v>
      </c>
      <c r="L18" s="24"/>
      <c r="M18" s="24"/>
      <c r="N18" s="23" t="s">
        <v>1627</v>
      </c>
      <c r="O18" s="8" t="n">
        <f aca="false">COUNTIF(C18:N18,"●")</f>
        <v>4</v>
      </c>
    </row>
    <row r="20" customFormat="false" ht="15" hidden="false" customHeight="false" outlineLevel="0" collapsed="false">
      <c r="A20" s="20" t="s">
        <v>1644</v>
      </c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7" t="s">
        <v>220</v>
      </c>
      <c r="B1" s="7" t="s">
        <v>1645</v>
      </c>
      <c r="C1" s="7" t="s">
        <v>1646</v>
      </c>
      <c r="D1" s="7" t="s">
        <v>226</v>
      </c>
    </row>
    <row r="2" customFormat="false" ht="23.85" hidden="false" customHeight="false" outlineLevel="0" collapsed="false">
      <c r="A2" s="8" t="s">
        <v>231</v>
      </c>
      <c r="B2" s="8" t="n">
        <v>1</v>
      </c>
      <c r="C2" s="8" t="s">
        <v>1647</v>
      </c>
      <c r="D2" s="8" t="s">
        <v>1648</v>
      </c>
    </row>
    <row r="3" customFormat="false" ht="15" hidden="false" customHeight="false" outlineLevel="0" collapsed="false">
      <c r="A3" s="8" t="s">
        <v>263</v>
      </c>
      <c r="B3" s="8" t="n">
        <v>2</v>
      </c>
      <c r="C3" s="8" t="s">
        <v>1649</v>
      </c>
      <c r="D3" s="8"/>
    </row>
    <row r="4" customFormat="false" ht="15" hidden="false" customHeight="false" outlineLevel="0" collapsed="false">
      <c r="A4" s="8" t="s">
        <v>677</v>
      </c>
      <c r="B4" s="8" t="n">
        <v>2</v>
      </c>
      <c r="C4" s="8" t="s">
        <v>1650</v>
      </c>
      <c r="D4" s="8"/>
    </row>
    <row r="5" customFormat="false" ht="15" hidden="false" customHeight="false" outlineLevel="0" collapsed="false">
      <c r="A5" s="8" t="s">
        <v>666</v>
      </c>
      <c r="B5" s="8" t="n">
        <v>5</v>
      </c>
      <c r="C5" s="8" t="s">
        <v>1651</v>
      </c>
      <c r="D5" s="8"/>
    </row>
    <row r="6" customFormat="false" ht="15" hidden="false" customHeight="false" outlineLevel="0" collapsed="false">
      <c r="A6" s="8" t="s">
        <v>731</v>
      </c>
      <c r="B6" s="8" t="n">
        <v>20</v>
      </c>
      <c r="C6" s="8" t="s">
        <v>1652</v>
      </c>
      <c r="D6" s="8"/>
    </row>
    <row r="7" customFormat="false" ht="15" hidden="false" customHeight="false" outlineLevel="0" collapsed="false">
      <c r="A7" s="8" t="s">
        <v>286</v>
      </c>
      <c r="B7" s="8" t="n">
        <v>25</v>
      </c>
      <c r="C7" s="8" t="s">
        <v>1653</v>
      </c>
      <c r="D7" s="8"/>
    </row>
    <row r="8" customFormat="false" ht="23.85" hidden="false" customHeight="false" outlineLevel="0" collapsed="false">
      <c r="A8" s="8" t="s">
        <v>399</v>
      </c>
      <c r="B8" s="8" t="n">
        <v>1</v>
      </c>
      <c r="C8" s="8" t="s">
        <v>1654</v>
      </c>
      <c r="D8" s="8" t="s">
        <v>1655</v>
      </c>
    </row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2026-09-24T21:54:53Z</dcterms:created>
  <dc:creator>openpyxl</dc:creator>
  <dc:description/>
  <dc:language>en-US</dc:language>
  <cp:lastModifiedBy/>
  <dcterms:modified xsi:type="dcterms:W3CDTF">2026-09-24T21:54:53Z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